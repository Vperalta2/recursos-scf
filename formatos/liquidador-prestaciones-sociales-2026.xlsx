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taciones" sheetId="1" state="visible" r:id="rId1"/>
    <sheet xmlns:r="http://schemas.openxmlformats.org/officeDocument/2006/relationships" name="Varios empleados" sheetId="2" state="visible" r:id="rId2"/>
  </sheets>
  <definedNames>
    <definedName name="_xlnm.Print_Titles" localSheetId="1">'Varios empleados'!$10:$10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yyyy-mm-dd"/>
    <numFmt numFmtId="166" formatCode="dd/mm/yyyy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AD69"/>
      <sz val="10.5"/>
    </font>
    <font>
      <name val="Calibri"/>
      <color rgb="00D7DEEA"/>
      <sz val="9.5"/>
    </font>
    <font>
      <name val="Calibri"/>
      <b val="1"/>
      <color rgb="001B3562"/>
      <sz val="9.5"/>
    </font>
    <font>
      <name val="Calibri"/>
      <i val="1"/>
      <color rgb="005A6273"/>
      <sz val="9.5"/>
    </font>
    <font>
      <name val="Calibri"/>
      <b val="1"/>
      <color rgb="0085662A"/>
      <sz val="10"/>
    </font>
    <font>
      <name val="Calibri"/>
      <color rgb="0018202E"/>
      <sz val="11"/>
    </font>
    <font>
      <name val="Calibri"/>
      <color rgb="005A6273"/>
      <sz val="9"/>
    </font>
    <font>
      <name val="Calibri"/>
      <b val="1"/>
      <color rgb="001B3562"/>
      <sz val="12"/>
    </font>
    <font>
      <name val="Calibri"/>
      <b val="1"/>
      <color rgb="00FFFFFF"/>
      <sz val="13"/>
    </font>
    <font>
      <name val="Calibri"/>
      <b val="1"/>
      <color rgb="00C9AD69"/>
      <sz val="15"/>
    </font>
    <font>
      <name val="Calibri"/>
      <i val="1"/>
      <color rgb="005A6273"/>
      <sz val="9"/>
    </font>
    <font>
      <name val="Calibri"/>
      <b val="1"/>
      <color rgb="001B3562"/>
      <sz val="13"/>
    </font>
    <font>
      <name val="Calibri"/>
      <color rgb="0085662A"/>
      <sz val="10"/>
    </font>
    <font>
      <name val="Calibri"/>
      <color rgb="0024467F"/>
      <sz val="10.5"/>
      <u val="single"/>
    </font>
    <font>
      <name val="Calibri"/>
      <i val="1"/>
      <color rgb="005A6273"/>
      <sz val="8.5"/>
    </font>
    <font>
      <name val="Calibri"/>
      <b val="1"/>
      <color rgb="00FFFFFF"/>
      <sz val="10"/>
    </font>
    <font>
      <name val="Calibri"/>
      <b val="1"/>
      <color rgb="001B3562"/>
      <sz val="10"/>
    </font>
    <font>
      <name val="Calibri"/>
      <color rgb="0018202E"/>
      <sz val="10.5"/>
    </font>
    <font>
      <name val="Calibri"/>
      <b val="1"/>
      <color rgb="001B3562"/>
      <sz val="10.5"/>
    </font>
    <font>
      <name val="Calibri"/>
      <b val="1"/>
      <color rgb="00FFFFFF"/>
      <sz val="10.5"/>
    </font>
    <font>
      <name val="Calibri"/>
      <b val="1"/>
      <color rgb="00C9AD69"/>
      <sz val="10.5"/>
    </font>
  </fonts>
  <fills count="7">
    <fill>
      <patternFill/>
    </fill>
    <fill>
      <patternFill patternType="gray125"/>
    </fill>
    <fill>
      <patternFill patternType="solid">
        <fgColor rgb="001B3562"/>
      </patternFill>
    </fill>
    <fill>
      <patternFill patternType="solid">
        <fgColor rgb="00C9AD69"/>
      </patternFill>
    </fill>
    <fill>
      <patternFill patternType="solid">
        <fgColor rgb="00FFF6DD"/>
      </patternFill>
    </fill>
    <fill>
      <patternFill patternType="solid">
        <fgColor rgb="00F8F6F0"/>
      </patternFill>
    </fill>
    <fill>
      <patternFill patternType="solid">
        <fgColor rgb="00D9DFEA"/>
      </patternFill>
    </fill>
  </fills>
  <borders count="6">
    <border>
      <left/>
      <right/>
      <top/>
      <bottom/>
      <diagonal/>
    </border>
    <border>
      <left style="thin">
        <color rgb="00C9AD69"/>
      </left>
      <right style="thin">
        <color rgb="00C9AD69"/>
      </right>
      <top style="thin">
        <color rgb="00C9AD69"/>
      </top>
      <bottom style="thin">
        <color rgb="00C9AD69"/>
      </bottom>
    </border>
    <border>
      <bottom style="medium">
        <color rgb="00C9AD69"/>
      </bottom>
    </border>
    <border>
      <bottom style="thin">
        <color rgb="00E2DDCF"/>
      </bottom>
    </border>
    <border>
      <top style="medium">
        <color rgb="00C9AD69"/>
      </top>
    </border>
    <border>
      <left style="thin">
        <color rgb="00E2DDCF"/>
      </left>
      <right style="thin">
        <color rgb="00E2DDCF"/>
      </right>
      <top style="thin">
        <color rgb="00E2DDCF"/>
      </top>
      <bottom style="thin">
        <color rgb="00E2DDC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2" borderId="0" applyAlignment="1" pivotButton="0" quotePrefix="0" xfId="0">
      <alignment vertical="center" indent="1"/>
    </xf>
    <xf numFmtId="0" fontId="0" fillId="3" borderId="0" pivotButton="0" quotePrefix="0" xfId="0"/>
    <xf numFmtId="0" fontId="4" fillId="4" borderId="1" applyAlignment="1" pivotButton="0" quotePrefix="0" xfId="0">
      <alignment horizontal="left"/>
    </xf>
    <xf numFmtId="0" fontId="5" fillId="0" borderId="0" pivotButton="0" quotePrefix="0" xfId="0"/>
    <xf numFmtId="0" fontId="6" fillId="0" borderId="2" applyAlignment="1" pivotButton="0" quotePrefix="0" xfId="0">
      <alignment vertical="bottom"/>
    </xf>
    <xf numFmtId="0" fontId="0" fillId="0" borderId="2" pivotButton="0" quotePrefix="0" xfId="0"/>
    <xf numFmtId="0" fontId="7" fillId="0" borderId="0" applyAlignment="1" pivotButton="0" quotePrefix="0" xfId="0">
      <alignment vertical="center" wrapText="1"/>
    </xf>
    <xf numFmtId="164" fontId="9" fillId="4" borderId="1" applyAlignment="1" applyProtection="1" pivotButton="0" quotePrefix="0" xfId="0">
      <alignment horizontal="right" vertical="center"/>
      <protection locked="0" hidden="0"/>
    </xf>
    <xf numFmtId="0" fontId="8" fillId="0" borderId="0" applyAlignment="1" pivotButton="0" quotePrefix="0" xfId="0">
      <alignment vertical="center" wrapText="1" indent="1"/>
    </xf>
    <xf numFmtId="166" fontId="9" fillId="4" borderId="1" applyAlignment="1" applyProtection="1" pivotButton="0" quotePrefix="0" xfId="0">
      <alignment horizontal="right" vertical="center"/>
      <protection locked="0" hidden="0"/>
    </xf>
    <xf numFmtId="164" fontId="7" fillId="0" borderId="0" applyAlignment="1" pivotButton="0" quotePrefix="0" xfId="0">
      <alignment horizontal="right" vertical="center"/>
    </xf>
    <xf numFmtId="0" fontId="7" fillId="0" borderId="3" applyAlignment="1" pivotButton="0" quotePrefix="0" xfId="0">
      <alignment vertical="center" wrapText="1"/>
    </xf>
    <xf numFmtId="164" fontId="7" fillId="0" borderId="3" applyAlignment="1" pivotButton="0" quotePrefix="0" xfId="0">
      <alignment horizontal="right" vertical="center"/>
    </xf>
    <xf numFmtId="0" fontId="8" fillId="0" borderId="3" applyAlignment="1" pivotButton="0" quotePrefix="0" xfId="0">
      <alignment vertical="center" wrapText="1" indent="1"/>
    </xf>
    <xf numFmtId="0" fontId="0" fillId="0" borderId="3" pivotButton="0" quotePrefix="0" xfId="0"/>
    <xf numFmtId="1" fontId="7" fillId="0" borderId="3" applyAlignment="1" pivotButton="0" quotePrefix="0" xfId="0">
      <alignment horizontal="right" vertical="center"/>
    </xf>
    <xf numFmtId="166" fontId="7" fillId="0" borderId="3" applyAlignment="1" pivotButton="0" quotePrefix="0" xfId="0">
      <alignment horizontal="right" vertical="center"/>
    </xf>
    <xf numFmtId="0" fontId="10" fillId="2" borderId="0" applyAlignment="1" pivotButton="0" quotePrefix="0" xfId="0">
      <alignment vertical="center" indent="1"/>
    </xf>
    <xf numFmtId="164" fontId="11" fillId="2" borderId="0" applyAlignment="1" pivotButton="0" quotePrefix="0" xfId="0">
      <alignment horizontal="right" vertical="center"/>
    </xf>
    <xf numFmtId="0" fontId="12" fillId="0" borderId="0" applyAlignment="1" pivotButton="0" quotePrefix="0" xfId="0">
      <alignment vertical="top" wrapText="1"/>
    </xf>
    <xf numFmtId="0" fontId="0" fillId="5" borderId="4" pivotButton="0" quotePrefix="0" xfId="0"/>
    <xf numFmtId="0" fontId="0" fillId="5" borderId="0" pivotButton="0" quotePrefix="0" xfId="0"/>
    <xf numFmtId="0" fontId="13" fillId="5" borderId="0" pivotButton="0" quotePrefix="0" xfId="0"/>
    <xf numFmtId="0" fontId="14" fillId="5" borderId="0" pivotButton="0" quotePrefix="0" xfId="0"/>
    <xf numFmtId="0" fontId="15" fillId="5" borderId="0" pivotButton="0" quotePrefix="0" xfId="0"/>
    <xf numFmtId="0" fontId="8" fillId="5" borderId="0" pivotButton="0" quotePrefix="0" xfId="0"/>
    <xf numFmtId="0" fontId="16" fillId="5" borderId="0" pivotButton="0" quotePrefix="0" xfId="0"/>
    <xf numFmtId="0" fontId="17" fillId="2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4" borderId="5" applyProtection="1" pivotButton="0" quotePrefix="0" xfId="0">
      <protection locked="0" hidden="0"/>
    </xf>
    <xf numFmtId="164" fontId="19" fillId="4" borderId="5" applyProtection="1" pivotButton="0" quotePrefix="0" xfId="0">
      <protection locked="0" hidden="0"/>
    </xf>
    <xf numFmtId="166" fontId="19" fillId="4" borderId="5" applyAlignment="1" applyProtection="1" pivotButton="0" quotePrefix="0" xfId="0">
      <alignment horizontal="center"/>
      <protection locked="0" hidden="0"/>
    </xf>
    <xf numFmtId="164" fontId="19" fillId="0" borderId="3" pivotButton="0" quotePrefix="0" xfId="0"/>
    <xf numFmtId="1" fontId="19" fillId="0" borderId="3" applyAlignment="1" pivotButton="0" quotePrefix="0" xfId="0">
      <alignment horizontal="center"/>
    </xf>
    <xf numFmtId="166" fontId="19" fillId="0" borderId="3" applyAlignment="1" pivotButton="0" quotePrefix="0" xfId="0">
      <alignment horizontal="center"/>
    </xf>
    <xf numFmtId="164" fontId="20" fillId="0" borderId="3" pivotButton="0" quotePrefix="0" xfId="0"/>
    <xf numFmtId="164" fontId="19" fillId="5" borderId="3" pivotButton="0" quotePrefix="0" xfId="0"/>
    <xf numFmtId="1" fontId="19" fillId="5" borderId="3" applyAlignment="1" pivotButton="0" quotePrefix="0" xfId="0">
      <alignment horizontal="center"/>
    </xf>
    <xf numFmtId="166" fontId="19" fillId="5" borderId="3" applyAlignment="1" pivotButton="0" quotePrefix="0" xfId="0">
      <alignment horizontal="center"/>
    </xf>
    <xf numFmtId="164" fontId="20" fillId="5" borderId="3" pivotButton="0" quotePrefix="0" xfId="0"/>
    <xf numFmtId="0" fontId="21" fillId="2" borderId="0" pivotButton="0" quotePrefix="0" xfId="0"/>
    <xf numFmtId="164" fontId="21" fillId="2" borderId="0" pivotButton="0" quotePrefix="0" xfId="0"/>
    <xf numFmtId="164" fontId="2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3</col>
      <colOff>1362075</colOff>
      <row>1</row>
      <rowOff>19050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14</col>
      <colOff>295275</colOff>
      <row>1</row>
      <rowOff>19050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a.me/573005074934" TargetMode="External" Id="rId1"/><Relationship Type="http://schemas.openxmlformats.org/officeDocument/2006/relationships/hyperlink" Target="https://calendar.app.google/NaQe5qqNjgy27SrF7" TargetMode="External" Id="rId2"/><Relationship Type="http://schemas.openxmlformats.org/officeDocument/2006/relationships/hyperlink" Target="https://recursos.solucioncontableyfiscal.com" TargetMode="External" Id="rId3"/><Relationship Type="http://schemas.openxmlformats.org/officeDocument/2006/relationships/hyperlink" Target="mailto:solucontfisc@gmail.com" TargetMode="External" Id="rId4"/><Relationship Type="http://schemas.openxmlformats.org/officeDocument/2006/relationships/drawing" Target="/xl/drawings/drawing1.xm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wa.me/573005074934" TargetMode="External" Id="rId1"/><Relationship Type="http://schemas.openxmlformats.org/officeDocument/2006/relationships/hyperlink" Target="https://calendar.app.google/NaQe5qqNjgy27SrF7" TargetMode="External" Id="rId2"/><Relationship Type="http://schemas.openxmlformats.org/officeDocument/2006/relationships/hyperlink" Target="https://recursos.solucioncontableyfiscal.com" TargetMode="External" Id="rId3"/><Relationship Type="http://schemas.openxmlformats.org/officeDocument/2006/relationships/hyperlink" Target="mailto:solucontfisc@gmail.com" TargetMode="External" Id="rId4"/><Relationship Type="http://schemas.openxmlformats.org/officeDocument/2006/relationships/drawing" Target="/xl/drawings/drawing2.xml" Id="rId5"/></Relationships>
</file>

<file path=xl/worksheets/sheet1.xml><?xml version="1.0" encoding="utf-8"?>
<worksheet xmlns="http://schemas.openxmlformats.org/spreadsheetml/2006/main">
  <sheetPr>
    <tabColor rgb="001B3562"/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56" customWidth="1" min="2" max="2"/>
    <col width="20" customWidth="1" min="3" max="3"/>
    <col width="30" customWidth="1" min="4" max="4"/>
  </cols>
  <sheetData>
    <row r="1" ht="10" customHeight="1">
      <c r="A1" s="1" t="n"/>
      <c r="B1" s="1" t="n"/>
      <c r="C1" s="1" t="n"/>
      <c r="D1" s="1" t="n"/>
    </row>
    <row r="2" ht="30" customHeight="1">
      <c r="A2" s="1" t="n"/>
      <c r="B2" s="2" t="inlineStr">
        <is>
          <t>Liquidador de prestaciones sociales 2026</t>
        </is>
      </c>
    </row>
    <row r="3" ht="18" customHeight="1">
      <c r="A3" s="1" t="n"/>
      <c r="B3" s="3" t="inlineStr">
        <is>
          <t>Cesantías, intereses, prima de servicios y vacaciones</t>
        </is>
      </c>
    </row>
    <row r="4" ht="18" customHeight="1">
      <c r="A4" s="1" t="n"/>
      <c r="B4" s="4" t="inlineStr">
        <is>
          <t>WhatsApp 300 507 4934  ·  solucontfisc@gmail.com  ·  recursos.solucioncontableyfiscal.com</t>
        </is>
      </c>
    </row>
    <row r="5" ht="10" customHeight="1">
      <c r="A5" s="1" t="n"/>
      <c r="B5" s="1" t="n"/>
      <c r="C5" s="1" t="n"/>
      <c r="D5" s="1" t="n"/>
    </row>
    <row r="6" ht="4" customHeight="1">
      <c r="A6" s="5" t="n"/>
      <c r="B6" s="5" t="n"/>
      <c r="C6" s="5" t="n"/>
      <c r="D6" s="5" t="n"/>
    </row>
    <row r="8">
      <c r="B8" s="6" t="inlineStr">
        <is>
          <t xml:space="preserve">  Tus datos  </t>
        </is>
      </c>
      <c r="C8" s="7" t="inlineStr">
        <is>
          <t>Escribe solo en las celdas amarillas; el resto se calcula solo.</t>
        </is>
      </c>
    </row>
    <row r="10" ht="24" customHeight="1">
      <c r="B10" s="8" t="inlineStr">
        <is>
          <t>1.  DATOS DEL TRABAJADOR</t>
        </is>
      </c>
      <c r="C10" s="9" t="n"/>
      <c r="D10" s="9" t="n"/>
    </row>
    <row r="11" ht="21" customHeight="1">
      <c r="B11" s="10" t="inlineStr">
        <is>
          <t>Salario mensual</t>
        </is>
      </c>
      <c r="C11" s="11" t="n">
        <v>1750905</v>
      </c>
      <c r="D11" s="12" t="inlineStr">
        <is>
          <t>Salario básico</t>
        </is>
      </c>
    </row>
    <row r="12" ht="21" customHeight="1">
      <c r="B12" s="10" t="inlineStr">
        <is>
          <t>Fecha de inicio</t>
        </is>
      </c>
      <c r="C12" s="13" t="n">
        <v>46023</v>
      </c>
      <c r="D12" s="12" t="inlineStr">
        <is>
          <t>Ingreso o última liquidación</t>
        </is>
      </c>
    </row>
    <row r="13" ht="21" customHeight="1">
      <c r="B13" s="10" t="inlineStr">
        <is>
          <t>Fecha de corte</t>
        </is>
      </c>
      <c r="C13" s="13" t="n">
        <v>46326</v>
      </c>
      <c r="D13" s="12" t="inlineStr">
        <is>
          <t>Retiro o fecha a calcular</t>
        </is>
      </c>
    </row>
    <row r="15" ht="24" customHeight="1">
      <c r="B15" s="8" t="inlineStr">
        <is>
          <t>2.  VALORES 2026</t>
        </is>
      </c>
      <c r="C15" s="9" t="n"/>
      <c r="D15" s="9" t="n"/>
    </row>
    <row r="16">
      <c r="B16" s="10" t="inlineStr">
        <is>
          <t>Salario mínimo 2026</t>
        </is>
      </c>
      <c r="C16" s="14" t="n">
        <v>1750905</v>
      </c>
    </row>
    <row r="17">
      <c r="B17" s="10" t="inlineStr">
        <is>
          <t>Auxilio de transporte 2026</t>
        </is>
      </c>
      <c r="C17" s="14" t="n">
        <v>249095</v>
      </c>
    </row>
    <row r="19" ht="24" customHeight="1">
      <c r="B19" s="8" t="inlineStr">
        <is>
          <t>3.  LIQUIDACIÓN</t>
        </is>
      </c>
      <c r="C19" s="9" t="n"/>
      <c r="D19" s="9" t="n"/>
    </row>
    <row r="20">
      <c r="B20" s="15" t="inlineStr">
        <is>
          <t>Auxilio de transporte incluido</t>
        </is>
      </c>
      <c r="C20" s="16">
        <f>IF(C11&lt;=2*$C$16,$C$17,0)</f>
        <v/>
      </c>
      <c r="D20" s="17" t="inlineStr">
        <is>
          <t>Solo si gana hasta 2 SMMLV</t>
        </is>
      </c>
    </row>
    <row r="21">
      <c r="B21" s="15" t="inlineStr">
        <is>
          <t>Base para cesantías y prima</t>
        </is>
      </c>
      <c r="C21" s="16">
        <f>C11+C20</f>
        <v/>
      </c>
      <c r="D21" s="18" t="n"/>
    </row>
    <row r="22">
      <c r="B22" s="15" t="inlineStr">
        <is>
          <t>Días trabajados</t>
        </is>
      </c>
      <c r="C22" s="19">
        <f>DAYS360(C12,C13,TRUE)+1+IF(AND(MONTH(C13+1)=3,DAY(C13+1)=1),30-DAY(C13),0)</f>
        <v/>
      </c>
      <c r="D22" s="17" t="inlineStr">
        <is>
          <t>Año de 360 días</t>
        </is>
      </c>
    </row>
    <row r="23">
      <c r="B23" s="15" t="inlineStr">
        <is>
          <t>Inicio del semestre de la prima</t>
        </is>
      </c>
      <c r="C23" s="20">
        <f>MAX(C12,IF(MONTH(C13)&lt;=6,DATE(YEAR(C13),1,1),DATE(YEAR(C13),7,1)))</f>
        <v/>
      </c>
      <c r="D23" s="18" t="n"/>
    </row>
    <row r="24">
      <c r="B24" s="15" t="inlineStr">
        <is>
          <t>Días de prima del semestre</t>
        </is>
      </c>
      <c r="C24" s="19">
        <f>DAYS360(C23,C13,TRUE)+1+IF(AND(MONTH(C13+1)=3,DAY(C13+1)=1),30-DAY(C13),0)</f>
        <v/>
      </c>
      <c r="D24" s="18" t="n"/>
    </row>
    <row r="25">
      <c r="B25" s="15" t="inlineStr">
        <is>
          <t>Cesantías</t>
        </is>
      </c>
      <c r="C25" s="16">
        <f>C21*C22/360</f>
        <v/>
      </c>
      <c r="D25" s="17" t="inlineStr">
        <is>
          <t>Art. 249 CST</t>
        </is>
      </c>
    </row>
    <row r="26">
      <c r="B26" s="15" t="inlineStr">
        <is>
          <t>Intereses sobre cesantías (12 %)</t>
        </is>
      </c>
      <c r="C26" s="16">
        <f>C25*C22*12%/360</f>
        <v/>
      </c>
      <c r="D26" s="17" t="inlineStr">
        <is>
          <t>Ley 52 de 1975</t>
        </is>
      </c>
    </row>
    <row r="27">
      <c r="B27" s="15" t="inlineStr">
        <is>
          <t>Prima de servicios</t>
        </is>
      </c>
      <c r="C27" s="16">
        <f>C21*C24/360</f>
        <v/>
      </c>
      <c r="D27" s="17" t="inlineStr">
        <is>
          <t>Art. 306 CST</t>
        </is>
      </c>
    </row>
    <row r="28">
      <c r="B28" s="15" t="inlineStr">
        <is>
          <t>Vacaciones (15 días hábiles por año)</t>
        </is>
      </c>
      <c r="C28" s="16">
        <f>C11*C22/720</f>
        <v/>
      </c>
      <c r="D28" s="17" t="inlineStr">
        <is>
          <t>Art. 186 CST · sin auxilio</t>
        </is>
      </c>
    </row>
    <row r="30" ht="34" customHeight="1">
      <c r="B30" s="21" t="inlineStr">
        <is>
          <t>Total prestaciones</t>
        </is>
      </c>
      <c r="C30" s="22">
        <f>C25+C26+C27+C28</f>
        <v/>
      </c>
      <c r="D30" s="1" t="n"/>
    </row>
    <row r="32" ht="28" customHeight="1">
      <c r="B32" s="23" t="inlineStr">
        <is>
          <t>Supone que no se han pagado cesantías ni tomado vacaciones en el período. Para varios trabajadores usa la hoja «Varios empleados».</t>
        </is>
      </c>
    </row>
    <row r="34" ht="8" customHeight="1">
      <c r="A34" s="24" t="n"/>
      <c r="B34" s="24" t="n"/>
      <c r="C34" s="24" t="n"/>
      <c r="D34" s="24" t="n"/>
    </row>
    <row r="35">
      <c r="A35" s="25" t="n"/>
      <c r="B35" s="26" t="inlineStr">
        <is>
          <t>¿Prefieres que lo hagamos por ti?</t>
        </is>
      </c>
      <c r="C35" s="25" t="n"/>
      <c r="D35" s="25" t="n"/>
    </row>
    <row r="36">
      <c r="A36" s="25" t="n"/>
      <c r="B36" s="27" t="inlineStr">
        <is>
          <t>Contabilidad · Impuestos · Revisoría fiscal y auditoría · Nómina electrónica</t>
        </is>
      </c>
      <c r="C36" s="25" t="n"/>
      <c r="D36" s="25" t="n"/>
    </row>
    <row r="37">
      <c r="A37" s="25" t="n"/>
      <c r="B37" s="28" t="inlineStr">
        <is>
          <t>Escríbenos por WhatsApp: 300 507 4934</t>
        </is>
      </c>
      <c r="C37" s="25" t="n"/>
      <c r="D37" s="25" t="n"/>
    </row>
    <row r="38">
      <c r="A38" s="25" t="n"/>
      <c r="B38" s="28" t="inlineStr">
        <is>
          <t>Agenda una cita</t>
        </is>
      </c>
      <c r="C38" s="25" t="n"/>
      <c r="D38" s="25" t="n"/>
    </row>
    <row r="39">
      <c r="A39" s="25" t="n"/>
      <c r="B39" s="28" t="inlineStr">
        <is>
          <t>Calendario y calculadoras gratis: recursos.solucioncontableyfiscal.com</t>
        </is>
      </c>
      <c r="C39" s="25" t="n"/>
      <c r="D39" s="25" t="n"/>
    </row>
    <row r="40">
      <c r="A40" s="25" t="n"/>
      <c r="B40" s="28" t="inlineStr">
        <is>
          <t>Correo: solucontfisc@gmail.com</t>
        </is>
      </c>
      <c r="C40" s="25" t="n"/>
      <c r="D40" s="25" t="n"/>
    </row>
    <row r="41">
      <c r="A41" s="25" t="n"/>
      <c r="B41" s="29" t="inlineStr">
        <is>
          <t>SOLUCION CONTABLE Y FISCAL S.A.S. · Vía 40 #73-290, Edificio Mix, Oficina 612, Barranquilla · Atención virtual en toda Colombia</t>
        </is>
      </c>
      <c r="C41" s="25" t="n"/>
      <c r="D41" s="25" t="n"/>
    </row>
    <row r="42">
      <c r="A42" s="25" t="n"/>
      <c r="B42" s="30" t="inlineStr">
        <is>
          <t>Información de referencia; no reemplaza la asesoría profesional. Verifica tu caso particular con un contador.</t>
        </is>
      </c>
      <c r="C42" s="25" t="n"/>
      <c r="D42" s="25" t="n"/>
    </row>
    <row r="43" ht="8" customHeight="1">
      <c r="A43" s="25" t="n"/>
      <c r="B43" s="25" t="n"/>
      <c r="C43" s="25" t="n"/>
      <c r="D43" s="2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B10:D10"/>
    <mergeCell ref="B42:D42"/>
    <mergeCell ref="B3:D3"/>
    <mergeCell ref="B19:D19"/>
    <mergeCell ref="B36:D36"/>
    <mergeCell ref="B37:D37"/>
    <mergeCell ref="B41:D41"/>
    <mergeCell ref="B32:D32"/>
    <mergeCell ref="B4:D4"/>
    <mergeCell ref="B35:D35"/>
    <mergeCell ref="B40:D40"/>
    <mergeCell ref="B15:D15"/>
    <mergeCell ref="B39:D39"/>
    <mergeCell ref="B38:D38"/>
    <mergeCell ref="B2:D2"/>
  </mergeCells>
  <dataValidations count="2">
    <dataValidation sqref="C12" showDropDown="0" showInputMessage="0" showErrorMessage="1" allowBlank="0" error="Escribe una fecha válida (dd/mm/aaaa)." type="date" operator="between">
      <formula1>DATE(2000,1,1)</formula1>
      <formula2>DATE(2030,12,31)</formula2>
    </dataValidation>
    <dataValidation sqref="C13" showDropDown="0" showInputMessage="0" showErrorMessage="1" allowBlank="0" error="La fecha de corte debe ser igual o posterior a la de inicio." type="custom">
      <formula1>C13&gt;=C12</formula1>
    </dataValidation>
  </dataValidations>
  <hyperlinks>
    <hyperlink xmlns:r="http://schemas.openxmlformats.org/officeDocument/2006/relationships" ref="B37" r:id="rId1"/>
    <hyperlink xmlns:r="http://schemas.openxmlformats.org/officeDocument/2006/relationships" ref="B38" r:id="rId2"/>
    <hyperlink xmlns:r="http://schemas.openxmlformats.org/officeDocument/2006/relationships" ref="B39" r:id="rId3"/>
    <hyperlink xmlns:r="http://schemas.openxmlformats.org/officeDocument/2006/relationships" ref="B40" r:id="rId4"/>
  </hyperlinks>
  <printOptions horizontalCentered="1"/>
  <pageMargins left="0.4" right="0.4" top="1" bottom="1" header="0.5" footer="0.5"/>
  <pageSetup orientation="portrait" paperSize="1" fitToHeight="1" fitToWidth="1"/>
  <headerFooter>
    <oddHeader/>
    <oddFooter>&amp;L&amp;8 Solución Contable y Fiscal · WhatsApp 300 507 4934&amp;R&amp;8 Página &amp;P de &amp;N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tabColor rgb="001B3562"/>
    <outlinePr summaryBelow="1" summaryRight="1"/>
    <pageSetUpPr fitToPage="1"/>
  </sheetPr>
  <dimension ref="A1:O5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2" t="inlineStr">
        <is>
          <t>Prestaciones sociales 2026 · varios trabajadores</t>
        </is>
      </c>
    </row>
    <row r="3" ht="18" customHeight="1">
      <c r="A3" s="1" t="n"/>
      <c r="B3" s="3" t="inlineStr">
        <is>
          <t>Un trabajador por fila: llena las columnas amarillas (B a E)</t>
        </is>
      </c>
    </row>
    <row r="4" ht="18" customHeight="1">
      <c r="A4" s="1" t="n"/>
      <c r="B4" s="4" t="inlineStr">
        <is>
          <t>WhatsApp 300 507 4934  ·  solucontfisc@gmail.com  ·  recursos.solucioncontableyfiscal.com</t>
        </is>
      </c>
    </row>
    <row r="5" ht="10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8">
      <c r="B8" s="6" t="inlineStr">
        <is>
          <t xml:space="preserve">  Tus datos  </t>
        </is>
      </c>
      <c r="C8" s="7" t="inlineStr">
        <is>
          <t>Escribe solo en las celdas amarillas; el resto se calcula solo.</t>
        </is>
      </c>
    </row>
    <row r="10" ht="34" customHeight="1">
      <c r="B10" s="31" t="inlineStr">
        <is>
          <t>Trabajador</t>
        </is>
      </c>
      <c r="C10" s="31" t="inlineStr">
        <is>
          <t>Salario mensual</t>
        </is>
      </c>
      <c r="D10" s="31" t="inlineStr">
        <is>
          <t>Fecha de inicio</t>
        </is>
      </c>
      <c r="E10" s="31" t="inlineStr">
        <is>
          <t>Fecha de corte</t>
        </is>
      </c>
      <c r="F10" s="32" t="inlineStr">
        <is>
          <t>Auxilio transporte</t>
        </is>
      </c>
      <c r="G10" s="32" t="inlineStr">
        <is>
          <t>Base</t>
        </is>
      </c>
      <c r="H10" s="32" t="inlineStr">
        <is>
          <t>Días trabajados</t>
        </is>
      </c>
      <c r="I10" s="32" t="inlineStr">
        <is>
          <t>Inicio semestre</t>
        </is>
      </c>
      <c r="J10" s="32" t="inlineStr">
        <is>
          <t>Días prima</t>
        </is>
      </c>
      <c r="K10" s="32" t="inlineStr">
        <is>
          <t>Cesantías</t>
        </is>
      </c>
      <c r="L10" s="32" t="inlineStr">
        <is>
          <t>Intereses (12 %)</t>
        </is>
      </c>
      <c r="M10" s="32" t="inlineStr">
        <is>
          <t>Prima</t>
        </is>
      </c>
      <c r="N10" s="32" t="inlineStr">
        <is>
          <t>Vacaciones</t>
        </is>
      </c>
      <c r="O10" s="32" t="inlineStr">
        <is>
          <t>Total</t>
        </is>
      </c>
    </row>
    <row r="11">
      <c r="B11" s="33" t="inlineStr">
        <is>
          <t>Trabajador 1</t>
        </is>
      </c>
      <c r="C11" s="34" t="n">
        <v>1750905</v>
      </c>
      <c r="D11" s="35" t="n">
        <v>46023</v>
      </c>
      <c r="E11" s="35" t="n">
        <v>46326</v>
      </c>
      <c r="F11" s="36">
        <f>IF(OR(N(C11)=0,N(D11)=0,N(E11)=0),"",IF(C11&lt;=2*Prestaciones!$C$16,Prestaciones!$C$17,0))</f>
        <v/>
      </c>
      <c r="G11" s="36">
        <f>IF(OR(N(C11)=0,N(D11)=0,N(E11)=0),"",C11+F11)</f>
        <v/>
      </c>
      <c r="H11" s="37">
        <f>IF(OR(N(C11)=0,N(D11)=0,N(E11)=0),"",DAYS360(D11,E11,TRUE)+1+IF(AND(MONTH(E11+1)=3,DAY(E11+1)=1),30-DAY(E11),0))</f>
        <v/>
      </c>
      <c r="I11" s="38">
        <f>IF(OR(N(C11)=0,N(D11)=0,N(E11)=0),"",MAX(D11,IF(MONTH(E11)&lt;=6,DATE(YEAR(E11),1,1),DATE(YEAR(E11),7,1))))</f>
        <v/>
      </c>
      <c r="J11" s="37">
        <f>IF(OR(N(C11)=0,N(D11)=0,N(E11)=0),"",DAYS360(I11,E11,TRUE)+1+IF(AND(MONTH(E11+1)=3,DAY(E11+1)=1),30-DAY(E11),0))</f>
        <v/>
      </c>
      <c r="K11" s="36">
        <f>IF(OR(N(C11)=0,N(D11)=0,N(E11)=0),"",G11*H11/360)</f>
        <v/>
      </c>
      <c r="L11" s="36">
        <f>IF(OR(N(C11)=0,N(D11)=0,N(E11)=0),"",K11*H11*12%/360)</f>
        <v/>
      </c>
      <c r="M11" s="36">
        <f>IF(OR(N(C11)=0,N(D11)=0,N(E11)=0),"",G11*J11/360)</f>
        <v/>
      </c>
      <c r="N11" s="36">
        <f>IF(OR(N(C11)=0,N(D11)=0,N(E11)=0),"",C11*H11/720)</f>
        <v/>
      </c>
      <c r="O11" s="39">
        <f>IF(OR(N(C11)=0,N(D11)=0,N(E11)=0),"",K11+L11+M11+N11)</f>
        <v/>
      </c>
    </row>
    <row r="12">
      <c r="B12" s="33" t="inlineStr">
        <is>
          <t>Trabajador 2</t>
        </is>
      </c>
      <c r="C12" s="34" t="n">
        <v>4200000</v>
      </c>
      <c r="D12" s="35" t="n">
        <v>46097</v>
      </c>
      <c r="E12" s="35" t="n">
        <v>46326</v>
      </c>
      <c r="F12" s="40">
        <f>IF(OR(N(C12)=0,N(D12)=0,N(E12)=0),"",IF(C12&lt;=2*Prestaciones!$C$16,Prestaciones!$C$17,0))</f>
        <v/>
      </c>
      <c r="G12" s="40">
        <f>IF(OR(N(C12)=0,N(D12)=0,N(E12)=0),"",C12+F12)</f>
        <v/>
      </c>
      <c r="H12" s="41">
        <f>IF(OR(N(C12)=0,N(D12)=0,N(E12)=0),"",DAYS360(D12,E12,TRUE)+1+IF(AND(MONTH(E12+1)=3,DAY(E12+1)=1),30-DAY(E12),0))</f>
        <v/>
      </c>
      <c r="I12" s="42">
        <f>IF(OR(N(C12)=0,N(D12)=0,N(E12)=0),"",MAX(D12,IF(MONTH(E12)&lt;=6,DATE(YEAR(E12),1,1),DATE(YEAR(E12),7,1))))</f>
        <v/>
      </c>
      <c r="J12" s="41">
        <f>IF(OR(N(C12)=0,N(D12)=0,N(E12)=0),"",DAYS360(I12,E12,TRUE)+1+IF(AND(MONTH(E12+1)=3,DAY(E12+1)=1),30-DAY(E12),0))</f>
        <v/>
      </c>
      <c r="K12" s="40">
        <f>IF(OR(N(C12)=0,N(D12)=0,N(E12)=0),"",G12*H12/360)</f>
        <v/>
      </c>
      <c r="L12" s="40">
        <f>IF(OR(N(C12)=0,N(D12)=0,N(E12)=0),"",K12*H12*12%/360)</f>
        <v/>
      </c>
      <c r="M12" s="40">
        <f>IF(OR(N(C12)=0,N(D12)=0,N(E12)=0),"",G12*J12/360)</f>
        <v/>
      </c>
      <c r="N12" s="40">
        <f>IF(OR(N(C12)=0,N(D12)=0,N(E12)=0),"",C12*H12/720)</f>
        <v/>
      </c>
      <c r="O12" s="43">
        <f>IF(OR(N(C12)=0,N(D12)=0,N(E12)=0),"",K12+L12+M12+N12)</f>
        <v/>
      </c>
    </row>
    <row r="13">
      <c r="B13" s="33" t="n"/>
      <c r="C13" s="34" t="n"/>
      <c r="D13" s="35" t="n"/>
      <c r="E13" s="35" t="n"/>
      <c r="F13" s="36">
        <f>IF(OR(N(C13)=0,N(D13)=0,N(E13)=0),"",IF(C13&lt;=2*Prestaciones!$C$16,Prestaciones!$C$17,0))</f>
        <v/>
      </c>
      <c r="G13" s="36">
        <f>IF(OR(N(C13)=0,N(D13)=0,N(E13)=0),"",C13+F13)</f>
        <v/>
      </c>
      <c r="H13" s="37">
        <f>IF(OR(N(C13)=0,N(D13)=0,N(E13)=0),"",DAYS360(D13,E13,TRUE)+1+IF(AND(MONTH(E13+1)=3,DAY(E13+1)=1),30-DAY(E13),0))</f>
        <v/>
      </c>
      <c r="I13" s="38">
        <f>IF(OR(N(C13)=0,N(D13)=0,N(E13)=0),"",MAX(D13,IF(MONTH(E13)&lt;=6,DATE(YEAR(E13),1,1),DATE(YEAR(E13),7,1))))</f>
        <v/>
      </c>
      <c r="J13" s="37">
        <f>IF(OR(N(C13)=0,N(D13)=0,N(E13)=0),"",DAYS360(I13,E13,TRUE)+1+IF(AND(MONTH(E13+1)=3,DAY(E13+1)=1),30-DAY(E13),0))</f>
        <v/>
      </c>
      <c r="K13" s="36">
        <f>IF(OR(N(C13)=0,N(D13)=0,N(E13)=0),"",G13*H13/360)</f>
        <v/>
      </c>
      <c r="L13" s="36">
        <f>IF(OR(N(C13)=0,N(D13)=0,N(E13)=0),"",K13*H13*12%/360)</f>
        <v/>
      </c>
      <c r="M13" s="36">
        <f>IF(OR(N(C13)=0,N(D13)=0,N(E13)=0),"",G13*J13/360)</f>
        <v/>
      </c>
      <c r="N13" s="36">
        <f>IF(OR(N(C13)=0,N(D13)=0,N(E13)=0),"",C13*H13/720)</f>
        <v/>
      </c>
      <c r="O13" s="39">
        <f>IF(OR(N(C13)=0,N(D13)=0,N(E13)=0),"",K13+L13+M13+N13)</f>
        <v/>
      </c>
    </row>
    <row r="14">
      <c r="B14" s="33" t="n"/>
      <c r="C14" s="34" t="n"/>
      <c r="D14" s="35" t="n"/>
      <c r="E14" s="35" t="n"/>
      <c r="F14" s="40">
        <f>IF(OR(N(C14)=0,N(D14)=0,N(E14)=0),"",IF(C14&lt;=2*Prestaciones!$C$16,Prestaciones!$C$17,0))</f>
        <v/>
      </c>
      <c r="G14" s="40">
        <f>IF(OR(N(C14)=0,N(D14)=0,N(E14)=0),"",C14+F14)</f>
        <v/>
      </c>
      <c r="H14" s="41">
        <f>IF(OR(N(C14)=0,N(D14)=0,N(E14)=0),"",DAYS360(D14,E14,TRUE)+1+IF(AND(MONTH(E14+1)=3,DAY(E14+1)=1),30-DAY(E14),0))</f>
        <v/>
      </c>
      <c r="I14" s="42">
        <f>IF(OR(N(C14)=0,N(D14)=0,N(E14)=0),"",MAX(D14,IF(MONTH(E14)&lt;=6,DATE(YEAR(E14),1,1),DATE(YEAR(E14),7,1))))</f>
        <v/>
      </c>
      <c r="J14" s="41">
        <f>IF(OR(N(C14)=0,N(D14)=0,N(E14)=0),"",DAYS360(I14,E14,TRUE)+1+IF(AND(MONTH(E14+1)=3,DAY(E14+1)=1),30-DAY(E14),0))</f>
        <v/>
      </c>
      <c r="K14" s="40">
        <f>IF(OR(N(C14)=0,N(D14)=0,N(E14)=0),"",G14*H14/360)</f>
        <v/>
      </c>
      <c r="L14" s="40">
        <f>IF(OR(N(C14)=0,N(D14)=0,N(E14)=0),"",K14*H14*12%/360)</f>
        <v/>
      </c>
      <c r="M14" s="40">
        <f>IF(OR(N(C14)=0,N(D14)=0,N(E14)=0),"",G14*J14/360)</f>
        <v/>
      </c>
      <c r="N14" s="40">
        <f>IF(OR(N(C14)=0,N(D14)=0,N(E14)=0),"",C14*H14/720)</f>
        <v/>
      </c>
      <c r="O14" s="43">
        <f>IF(OR(N(C14)=0,N(D14)=0,N(E14)=0),"",K14+L14+M14+N14)</f>
        <v/>
      </c>
    </row>
    <row r="15">
      <c r="B15" s="33" t="n"/>
      <c r="C15" s="34" t="n"/>
      <c r="D15" s="35" t="n"/>
      <c r="E15" s="35" t="n"/>
      <c r="F15" s="36">
        <f>IF(OR(N(C15)=0,N(D15)=0,N(E15)=0),"",IF(C15&lt;=2*Prestaciones!$C$16,Prestaciones!$C$17,0))</f>
        <v/>
      </c>
      <c r="G15" s="36">
        <f>IF(OR(N(C15)=0,N(D15)=0,N(E15)=0),"",C15+F15)</f>
        <v/>
      </c>
      <c r="H15" s="37">
        <f>IF(OR(N(C15)=0,N(D15)=0,N(E15)=0),"",DAYS360(D15,E15,TRUE)+1+IF(AND(MONTH(E15+1)=3,DAY(E15+1)=1),30-DAY(E15),0))</f>
        <v/>
      </c>
      <c r="I15" s="38">
        <f>IF(OR(N(C15)=0,N(D15)=0,N(E15)=0),"",MAX(D15,IF(MONTH(E15)&lt;=6,DATE(YEAR(E15),1,1),DATE(YEAR(E15),7,1))))</f>
        <v/>
      </c>
      <c r="J15" s="37">
        <f>IF(OR(N(C15)=0,N(D15)=0,N(E15)=0),"",DAYS360(I15,E15,TRUE)+1+IF(AND(MONTH(E15+1)=3,DAY(E15+1)=1),30-DAY(E15),0))</f>
        <v/>
      </c>
      <c r="K15" s="36">
        <f>IF(OR(N(C15)=0,N(D15)=0,N(E15)=0),"",G15*H15/360)</f>
        <v/>
      </c>
      <c r="L15" s="36">
        <f>IF(OR(N(C15)=0,N(D15)=0,N(E15)=0),"",K15*H15*12%/360)</f>
        <v/>
      </c>
      <c r="M15" s="36">
        <f>IF(OR(N(C15)=0,N(D15)=0,N(E15)=0),"",G15*J15/360)</f>
        <v/>
      </c>
      <c r="N15" s="36">
        <f>IF(OR(N(C15)=0,N(D15)=0,N(E15)=0),"",C15*H15/720)</f>
        <v/>
      </c>
      <c r="O15" s="39">
        <f>IF(OR(N(C15)=0,N(D15)=0,N(E15)=0),"",K15+L15+M15+N15)</f>
        <v/>
      </c>
    </row>
    <row r="16">
      <c r="B16" s="33" t="n"/>
      <c r="C16" s="34" t="n"/>
      <c r="D16" s="35" t="n"/>
      <c r="E16" s="35" t="n"/>
      <c r="F16" s="40">
        <f>IF(OR(N(C16)=0,N(D16)=0,N(E16)=0),"",IF(C16&lt;=2*Prestaciones!$C$16,Prestaciones!$C$17,0))</f>
        <v/>
      </c>
      <c r="G16" s="40">
        <f>IF(OR(N(C16)=0,N(D16)=0,N(E16)=0),"",C16+F16)</f>
        <v/>
      </c>
      <c r="H16" s="41">
        <f>IF(OR(N(C16)=0,N(D16)=0,N(E16)=0),"",DAYS360(D16,E16,TRUE)+1+IF(AND(MONTH(E16+1)=3,DAY(E16+1)=1),30-DAY(E16),0))</f>
        <v/>
      </c>
      <c r="I16" s="42">
        <f>IF(OR(N(C16)=0,N(D16)=0,N(E16)=0),"",MAX(D16,IF(MONTH(E16)&lt;=6,DATE(YEAR(E16),1,1),DATE(YEAR(E16),7,1))))</f>
        <v/>
      </c>
      <c r="J16" s="41">
        <f>IF(OR(N(C16)=0,N(D16)=0,N(E16)=0),"",DAYS360(I16,E16,TRUE)+1+IF(AND(MONTH(E16+1)=3,DAY(E16+1)=1),30-DAY(E16),0))</f>
        <v/>
      </c>
      <c r="K16" s="40">
        <f>IF(OR(N(C16)=0,N(D16)=0,N(E16)=0),"",G16*H16/360)</f>
        <v/>
      </c>
      <c r="L16" s="40">
        <f>IF(OR(N(C16)=0,N(D16)=0,N(E16)=0),"",K16*H16*12%/360)</f>
        <v/>
      </c>
      <c r="M16" s="40">
        <f>IF(OR(N(C16)=0,N(D16)=0,N(E16)=0),"",G16*J16/360)</f>
        <v/>
      </c>
      <c r="N16" s="40">
        <f>IF(OR(N(C16)=0,N(D16)=0,N(E16)=0),"",C16*H16/720)</f>
        <v/>
      </c>
      <c r="O16" s="43">
        <f>IF(OR(N(C16)=0,N(D16)=0,N(E16)=0),"",K16+L16+M16+N16)</f>
        <v/>
      </c>
    </row>
    <row r="17">
      <c r="B17" s="33" t="n"/>
      <c r="C17" s="34" t="n"/>
      <c r="D17" s="35" t="n"/>
      <c r="E17" s="35" t="n"/>
      <c r="F17" s="36">
        <f>IF(OR(N(C17)=0,N(D17)=0,N(E17)=0),"",IF(C17&lt;=2*Prestaciones!$C$16,Prestaciones!$C$17,0))</f>
        <v/>
      </c>
      <c r="G17" s="36">
        <f>IF(OR(N(C17)=0,N(D17)=0,N(E17)=0),"",C17+F17)</f>
        <v/>
      </c>
      <c r="H17" s="37">
        <f>IF(OR(N(C17)=0,N(D17)=0,N(E17)=0),"",DAYS360(D17,E17,TRUE)+1+IF(AND(MONTH(E17+1)=3,DAY(E17+1)=1),30-DAY(E17),0))</f>
        <v/>
      </c>
      <c r="I17" s="38">
        <f>IF(OR(N(C17)=0,N(D17)=0,N(E17)=0),"",MAX(D17,IF(MONTH(E17)&lt;=6,DATE(YEAR(E17),1,1),DATE(YEAR(E17),7,1))))</f>
        <v/>
      </c>
      <c r="J17" s="37">
        <f>IF(OR(N(C17)=0,N(D17)=0,N(E17)=0),"",DAYS360(I17,E17,TRUE)+1+IF(AND(MONTH(E17+1)=3,DAY(E17+1)=1),30-DAY(E17),0))</f>
        <v/>
      </c>
      <c r="K17" s="36">
        <f>IF(OR(N(C17)=0,N(D17)=0,N(E17)=0),"",G17*H17/360)</f>
        <v/>
      </c>
      <c r="L17" s="36">
        <f>IF(OR(N(C17)=0,N(D17)=0,N(E17)=0),"",K17*H17*12%/360)</f>
        <v/>
      </c>
      <c r="M17" s="36">
        <f>IF(OR(N(C17)=0,N(D17)=0,N(E17)=0),"",G17*J17/360)</f>
        <v/>
      </c>
      <c r="N17" s="36">
        <f>IF(OR(N(C17)=0,N(D17)=0,N(E17)=0),"",C17*H17/720)</f>
        <v/>
      </c>
      <c r="O17" s="39">
        <f>IF(OR(N(C17)=0,N(D17)=0,N(E17)=0),"",K17+L17+M17+N17)</f>
        <v/>
      </c>
    </row>
    <row r="18">
      <c r="B18" s="33" t="n"/>
      <c r="C18" s="34" t="n"/>
      <c r="D18" s="35" t="n"/>
      <c r="E18" s="35" t="n"/>
      <c r="F18" s="40">
        <f>IF(OR(N(C18)=0,N(D18)=0,N(E18)=0),"",IF(C18&lt;=2*Prestaciones!$C$16,Prestaciones!$C$17,0))</f>
        <v/>
      </c>
      <c r="G18" s="40">
        <f>IF(OR(N(C18)=0,N(D18)=0,N(E18)=0),"",C18+F18)</f>
        <v/>
      </c>
      <c r="H18" s="41">
        <f>IF(OR(N(C18)=0,N(D18)=0,N(E18)=0),"",DAYS360(D18,E18,TRUE)+1+IF(AND(MONTH(E18+1)=3,DAY(E18+1)=1),30-DAY(E18),0))</f>
        <v/>
      </c>
      <c r="I18" s="42">
        <f>IF(OR(N(C18)=0,N(D18)=0,N(E18)=0),"",MAX(D18,IF(MONTH(E18)&lt;=6,DATE(YEAR(E18),1,1),DATE(YEAR(E18),7,1))))</f>
        <v/>
      </c>
      <c r="J18" s="41">
        <f>IF(OR(N(C18)=0,N(D18)=0,N(E18)=0),"",DAYS360(I18,E18,TRUE)+1+IF(AND(MONTH(E18+1)=3,DAY(E18+1)=1),30-DAY(E18),0))</f>
        <v/>
      </c>
      <c r="K18" s="40">
        <f>IF(OR(N(C18)=0,N(D18)=0,N(E18)=0),"",G18*H18/360)</f>
        <v/>
      </c>
      <c r="L18" s="40">
        <f>IF(OR(N(C18)=0,N(D18)=0,N(E18)=0),"",K18*H18*12%/360)</f>
        <v/>
      </c>
      <c r="M18" s="40">
        <f>IF(OR(N(C18)=0,N(D18)=0,N(E18)=0),"",G18*J18/360)</f>
        <v/>
      </c>
      <c r="N18" s="40">
        <f>IF(OR(N(C18)=0,N(D18)=0,N(E18)=0),"",C18*H18/720)</f>
        <v/>
      </c>
      <c r="O18" s="43">
        <f>IF(OR(N(C18)=0,N(D18)=0,N(E18)=0),"",K18+L18+M18+N18)</f>
        <v/>
      </c>
    </row>
    <row r="19">
      <c r="B19" s="33" t="n"/>
      <c r="C19" s="34" t="n"/>
      <c r="D19" s="35" t="n"/>
      <c r="E19" s="35" t="n"/>
      <c r="F19" s="36">
        <f>IF(OR(N(C19)=0,N(D19)=0,N(E19)=0),"",IF(C19&lt;=2*Prestaciones!$C$16,Prestaciones!$C$17,0))</f>
        <v/>
      </c>
      <c r="G19" s="36">
        <f>IF(OR(N(C19)=0,N(D19)=0,N(E19)=0),"",C19+F19)</f>
        <v/>
      </c>
      <c r="H19" s="37">
        <f>IF(OR(N(C19)=0,N(D19)=0,N(E19)=0),"",DAYS360(D19,E19,TRUE)+1+IF(AND(MONTH(E19+1)=3,DAY(E19+1)=1),30-DAY(E19),0))</f>
        <v/>
      </c>
      <c r="I19" s="38">
        <f>IF(OR(N(C19)=0,N(D19)=0,N(E19)=0),"",MAX(D19,IF(MONTH(E19)&lt;=6,DATE(YEAR(E19),1,1),DATE(YEAR(E19),7,1))))</f>
        <v/>
      </c>
      <c r="J19" s="37">
        <f>IF(OR(N(C19)=0,N(D19)=0,N(E19)=0),"",DAYS360(I19,E19,TRUE)+1+IF(AND(MONTH(E19+1)=3,DAY(E19+1)=1),30-DAY(E19),0))</f>
        <v/>
      </c>
      <c r="K19" s="36">
        <f>IF(OR(N(C19)=0,N(D19)=0,N(E19)=0),"",G19*H19/360)</f>
        <v/>
      </c>
      <c r="L19" s="36">
        <f>IF(OR(N(C19)=0,N(D19)=0,N(E19)=0),"",K19*H19*12%/360)</f>
        <v/>
      </c>
      <c r="M19" s="36">
        <f>IF(OR(N(C19)=0,N(D19)=0,N(E19)=0),"",G19*J19/360)</f>
        <v/>
      </c>
      <c r="N19" s="36">
        <f>IF(OR(N(C19)=0,N(D19)=0,N(E19)=0),"",C19*H19/720)</f>
        <v/>
      </c>
      <c r="O19" s="39">
        <f>IF(OR(N(C19)=0,N(D19)=0,N(E19)=0),"",K19+L19+M19+N19)</f>
        <v/>
      </c>
    </row>
    <row r="20">
      <c r="B20" s="33" t="n"/>
      <c r="C20" s="34" t="n"/>
      <c r="D20" s="35" t="n"/>
      <c r="E20" s="35" t="n"/>
      <c r="F20" s="40">
        <f>IF(OR(N(C20)=0,N(D20)=0,N(E20)=0),"",IF(C20&lt;=2*Prestaciones!$C$16,Prestaciones!$C$17,0))</f>
        <v/>
      </c>
      <c r="G20" s="40">
        <f>IF(OR(N(C20)=0,N(D20)=0,N(E20)=0),"",C20+F20)</f>
        <v/>
      </c>
      <c r="H20" s="41">
        <f>IF(OR(N(C20)=0,N(D20)=0,N(E20)=0),"",DAYS360(D20,E20,TRUE)+1+IF(AND(MONTH(E20+1)=3,DAY(E20+1)=1),30-DAY(E20),0))</f>
        <v/>
      </c>
      <c r="I20" s="42">
        <f>IF(OR(N(C20)=0,N(D20)=0,N(E20)=0),"",MAX(D20,IF(MONTH(E20)&lt;=6,DATE(YEAR(E20),1,1),DATE(YEAR(E20),7,1))))</f>
        <v/>
      </c>
      <c r="J20" s="41">
        <f>IF(OR(N(C20)=0,N(D20)=0,N(E20)=0),"",DAYS360(I20,E20,TRUE)+1+IF(AND(MONTH(E20+1)=3,DAY(E20+1)=1),30-DAY(E20),0))</f>
        <v/>
      </c>
      <c r="K20" s="40">
        <f>IF(OR(N(C20)=0,N(D20)=0,N(E20)=0),"",G20*H20/360)</f>
        <v/>
      </c>
      <c r="L20" s="40">
        <f>IF(OR(N(C20)=0,N(D20)=0,N(E20)=0),"",K20*H20*12%/360)</f>
        <v/>
      </c>
      <c r="M20" s="40">
        <f>IF(OR(N(C20)=0,N(D20)=0,N(E20)=0),"",G20*J20/360)</f>
        <v/>
      </c>
      <c r="N20" s="40">
        <f>IF(OR(N(C20)=0,N(D20)=0,N(E20)=0),"",C20*H20/720)</f>
        <v/>
      </c>
      <c r="O20" s="43">
        <f>IF(OR(N(C20)=0,N(D20)=0,N(E20)=0),"",K20+L20+M20+N20)</f>
        <v/>
      </c>
    </row>
    <row r="21">
      <c r="B21" s="33" t="n"/>
      <c r="C21" s="34" t="n"/>
      <c r="D21" s="35" t="n"/>
      <c r="E21" s="35" t="n"/>
      <c r="F21" s="36">
        <f>IF(OR(N(C21)=0,N(D21)=0,N(E21)=0),"",IF(C21&lt;=2*Prestaciones!$C$16,Prestaciones!$C$17,0))</f>
        <v/>
      </c>
      <c r="G21" s="36">
        <f>IF(OR(N(C21)=0,N(D21)=0,N(E21)=0),"",C21+F21)</f>
        <v/>
      </c>
      <c r="H21" s="37">
        <f>IF(OR(N(C21)=0,N(D21)=0,N(E21)=0),"",DAYS360(D21,E21,TRUE)+1+IF(AND(MONTH(E21+1)=3,DAY(E21+1)=1),30-DAY(E21),0))</f>
        <v/>
      </c>
      <c r="I21" s="38">
        <f>IF(OR(N(C21)=0,N(D21)=0,N(E21)=0),"",MAX(D21,IF(MONTH(E21)&lt;=6,DATE(YEAR(E21),1,1),DATE(YEAR(E21),7,1))))</f>
        <v/>
      </c>
      <c r="J21" s="37">
        <f>IF(OR(N(C21)=0,N(D21)=0,N(E21)=0),"",DAYS360(I21,E21,TRUE)+1+IF(AND(MONTH(E21+1)=3,DAY(E21+1)=1),30-DAY(E21),0))</f>
        <v/>
      </c>
      <c r="K21" s="36">
        <f>IF(OR(N(C21)=0,N(D21)=0,N(E21)=0),"",G21*H21/360)</f>
        <v/>
      </c>
      <c r="L21" s="36">
        <f>IF(OR(N(C21)=0,N(D21)=0,N(E21)=0),"",K21*H21*12%/360)</f>
        <v/>
      </c>
      <c r="M21" s="36">
        <f>IF(OR(N(C21)=0,N(D21)=0,N(E21)=0),"",G21*J21/360)</f>
        <v/>
      </c>
      <c r="N21" s="36">
        <f>IF(OR(N(C21)=0,N(D21)=0,N(E21)=0),"",C21*H21/720)</f>
        <v/>
      </c>
      <c r="O21" s="39">
        <f>IF(OR(N(C21)=0,N(D21)=0,N(E21)=0),"",K21+L21+M21+N21)</f>
        <v/>
      </c>
    </row>
    <row r="22">
      <c r="B22" s="33" t="n"/>
      <c r="C22" s="34" t="n"/>
      <c r="D22" s="35" t="n"/>
      <c r="E22" s="35" t="n"/>
      <c r="F22" s="40">
        <f>IF(OR(N(C22)=0,N(D22)=0,N(E22)=0),"",IF(C22&lt;=2*Prestaciones!$C$16,Prestaciones!$C$17,0))</f>
        <v/>
      </c>
      <c r="G22" s="40">
        <f>IF(OR(N(C22)=0,N(D22)=0,N(E22)=0),"",C22+F22)</f>
        <v/>
      </c>
      <c r="H22" s="41">
        <f>IF(OR(N(C22)=0,N(D22)=0,N(E22)=0),"",DAYS360(D22,E22,TRUE)+1+IF(AND(MONTH(E22+1)=3,DAY(E22+1)=1),30-DAY(E22),0))</f>
        <v/>
      </c>
      <c r="I22" s="42">
        <f>IF(OR(N(C22)=0,N(D22)=0,N(E22)=0),"",MAX(D22,IF(MONTH(E22)&lt;=6,DATE(YEAR(E22),1,1),DATE(YEAR(E22),7,1))))</f>
        <v/>
      </c>
      <c r="J22" s="41">
        <f>IF(OR(N(C22)=0,N(D22)=0,N(E22)=0),"",DAYS360(I22,E22,TRUE)+1+IF(AND(MONTH(E22+1)=3,DAY(E22+1)=1),30-DAY(E22),0))</f>
        <v/>
      </c>
      <c r="K22" s="40">
        <f>IF(OR(N(C22)=0,N(D22)=0,N(E22)=0),"",G22*H22/360)</f>
        <v/>
      </c>
      <c r="L22" s="40">
        <f>IF(OR(N(C22)=0,N(D22)=0,N(E22)=0),"",K22*H22*12%/360)</f>
        <v/>
      </c>
      <c r="M22" s="40">
        <f>IF(OR(N(C22)=0,N(D22)=0,N(E22)=0),"",G22*J22/360)</f>
        <v/>
      </c>
      <c r="N22" s="40">
        <f>IF(OR(N(C22)=0,N(D22)=0,N(E22)=0),"",C22*H22/720)</f>
        <v/>
      </c>
      <c r="O22" s="43">
        <f>IF(OR(N(C22)=0,N(D22)=0,N(E22)=0),"",K22+L22+M22+N22)</f>
        <v/>
      </c>
    </row>
    <row r="23">
      <c r="B23" s="33" t="n"/>
      <c r="C23" s="34" t="n"/>
      <c r="D23" s="35" t="n"/>
      <c r="E23" s="35" t="n"/>
      <c r="F23" s="36">
        <f>IF(OR(N(C23)=0,N(D23)=0,N(E23)=0),"",IF(C23&lt;=2*Prestaciones!$C$16,Prestaciones!$C$17,0))</f>
        <v/>
      </c>
      <c r="G23" s="36">
        <f>IF(OR(N(C23)=0,N(D23)=0,N(E23)=0),"",C23+F23)</f>
        <v/>
      </c>
      <c r="H23" s="37">
        <f>IF(OR(N(C23)=0,N(D23)=0,N(E23)=0),"",DAYS360(D23,E23,TRUE)+1+IF(AND(MONTH(E23+1)=3,DAY(E23+1)=1),30-DAY(E23),0))</f>
        <v/>
      </c>
      <c r="I23" s="38">
        <f>IF(OR(N(C23)=0,N(D23)=0,N(E23)=0),"",MAX(D23,IF(MONTH(E23)&lt;=6,DATE(YEAR(E23),1,1),DATE(YEAR(E23),7,1))))</f>
        <v/>
      </c>
      <c r="J23" s="37">
        <f>IF(OR(N(C23)=0,N(D23)=0,N(E23)=0),"",DAYS360(I23,E23,TRUE)+1+IF(AND(MONTH(E23+1)=3,DAY(E23+1)=1),30-DAY(E23),0))</f>
        <v/>
      </c>
      <c r="K23" s="36">
        <f>IF(OR(N(C23)=0,N(D23)=0,N(E23)=0),"",G23*H23/360)</f>
        <v/>
      </c>
      <c r="L23" s="36">
        <f>IF(OR(N(C23)=0,N(D23)=0,N(E23)=0),"",K23*H23*12%/360)</f>
        <v/>
      </c>
      <c r="M23" s="36">
        <f>IF(OR(N(C23)=0,N(D23)=0,N(E23)=0),"",G23*J23/360)</f>
        <v/>
      </c>
      <c r="N23" s="36">
        <f>IF(OR(N(C23)=0,N(D23)=0,N(E23)=0),"",C23*H23/720)</f>
        <v/>
      </c>
      <c r="O23" s="39">
        <f>IF(OR(N(C23)=0,N(D23)=0,N(E23)=0),"",K23+L23+M23+N23)</f>
        <v/>
      </c>
    </row>
    <row r="24">
      <c r="B24" s="33" t="n"/>
      <c r="C24" s="34" t="n"/>
      <c r="D24" s="35" t="n"/>
      <c r="E24" s="35" t="n"/>
      <c r="F24" s="40">
        <f>IF(OR(N(C24)=0,N(D24)=0,N(E24)=0),"",IF(C24&lt;=2*Prestaciones!$C$16,Prestaciones!$C$17,0))</f>
        <v/>
      </c>
      <c r="G24" s="40">
        <f>IF(OR(N(C24)=0,N(D24)=0,N(E24)=0),"",C24+F24)</f>
        <v/>
      </c>
      <c r="H24" s="41">
        <f>IF(OR(N(C24)=0,N(D24)=0,N(E24)=0),"",DAYS360(D24,E24,TRUE)+1+IF(AND(MONTH(E24+1)=3,DAY(E24+1)=1),30-DAY(E24),0))</f>
        <v/>
      </c>
      <c r="I24" s="42">
        <f>IF(OR(N(C24)=0,N(D24)=0,N(E24)=0),"",MAX(D24,IF(MONTH(E24)&lt;=6,DATE(YEAR(E24),1,1),DATE(YEAR(E24),7,1))))</f>
        <v/>
      </c>
      <c r="J24" s="41">
        <f>IF(OR(N(C24)=0,N(D24)=0,N(E24)=0),"",DAYS360(I24,E24,TRUE)+1+IF(AND(MONTH(E24+1)=3,DAY(E24+1)=1),30-DAY(E24),0))</f>
        <v/>
      </c>
      <c r="K24" s="40">
        <f>IF(OR(N(C24)=0,N(D24)=0,N(E24)=0),"",G24*H24/360)</f>
        <v/>
      </c>
      <c r="L24" s="40">
        <f>IF(OR(N(C24)=0,N(D24)=0,N(E24)=0),"",K24*H24*12%/360)</f>
        <v/>
      </c>
      <c r="M24" s="40">
        <f>IF(OR(N(C24)=0,N(D24)=0,N(E24)=0),"",G24*J24/360)</f>
        <v/>
      </c>
      <c r="N24" s="40">
        <f>IF(OR(N(C24)=0,N(D24)=0,N(E24)=0),"",C24*H24/720)</f>
        <v/>
      </c>
      <c r="O24" s="43">
        <f>IF(OR(N(C24)=0,N(D24)=0,N(E24)=0),"",K24+L24+M24+N24)</f>
        <v/>
      </c>
    </row>
    <row r="25">
      <c r="B25" s="33" t="n"/>
      <c r="C25" s="34" t="n"/>
      <c r="D25" s="35" t="n"/>
      <c r="E25" s="35" t="n"/>
      <c r="F25" s="36">
        <f>IF(OR(N(C25)=0,N(D25)=0,N(E25)=0),"",IF(C25&lt;=2*Prestaciones!$C$16,Prestaciones!$C$17,0))</f>
        <v/>
      </c>
      <c r="G25" s="36">
        <f>IF(OR(N(C25)=0,N(D25)=0,N(E25)=0),"",C25+F25)</f>
        <v/>
      </c>
      <c r="H25" s="37">
        <f>IF(OR(N(C25)=0,N(D25)=0,N(E25)=0),"",DAYS360(D25,E25,TRUE)+1+IF(AND(MONTH(E25+1)=3,DAY(E25+1)=1),30-DAY(E25),0))</f>
        <v/>
      </c>
      <c r="I25" s="38">
        <f>IF(OR(N(C25)=0,N(D25)=0,N(E25)=0),"",MAX(D25,IF(MONTH(E25)&lt;=6,DATE(YEAR(E25),1,1),DATE(YEAR(E25),7,1))))</f>
        <v/>
      </c>
      <c r="J25" s="37">
        <f>IF(OR(N(C25)=0,N(D25)=0,N(E25)=0),"",DAYS360(I25,E25,TRUE)+1+IF(AND(MONTH(E25+1)=3,DAY(E25+1)=1),30-DAY(E25),0))</f>
        <v/>
      </c>
      <c r="K25" s="36">
        <f>IF(OR(N(C25)=0,N(D25)=0,N(E25)=0),"",G25*H25/360)</f>
        <v/>
      </c>
      <c r="L25" s="36">
        <f>IF(OR(N(C25)=0,N(D25)=0,N(E25)=0),"",K25*H25*12%/360)</f>
        <v/>
      </c>
      <c r="M25" s="36">
        <f>IF(OR(N(C25)=0,N(D25)=0,N(E25)=0),"",G25*J25/360)</f>
        <v/>
      </c>
      <c r="N25" s="36">
        <f>IF(OR(N(C25)=0,N(D25)=0,N(E25)=0),"",C25*H25/720)</f>
        <v/>
      </c>
      <c r="O25" s="39">
        <f>IF(OR(N(C25)=0,N(D25)=0,N(E25)=0),"",K25+L25+M25+N25)</f>
        <v/>
      </c>
    </row>
    <row r="26">
      <c r="B26" s="33" t="n"/>
      <c r="C26" s="34" t="n"/>
      <c r="D26" s="35" t="n"/>
      <c r="E26" s="35" t="n"/>
      <c r="F26" s="40">
        <f>IF(OR(N(C26)=0,N(D26)=0,N(E26)=0),"",IF(C26&lt;=2*Prestaciones!$C$16,Prestaciones!$C$17,0))</f>
        <v/>
      </c>
      <c r="G26" s="40">
        <f>IF(OR(N(C26)=0,N(D26)=0,N(E26)=0),"",C26+F26)</f>
        <v/>
      </c>
      <c r="H26" s="41">
        <f>IF(OR(N(C26)=0,N(D26)=0,N(E26)=0),"",DAYS360(D26,E26,TRUE)+1+IF(AND(MONTH(E26+1)=3,DAY(E26+1)=1),30-DAY(E26),0))</f>
        <v/>
      </c>
      <c r="I26" s="42">
        <f>IF(OR(N(C26)=0,N(D26)=0,N(E26)=0),"",MAX(D26,IF(MONTH(E26)&lt;=6,DATE(YEAR(E26),1,1),DATE(YEAR(E26),7,1))))</f>
        <v/>
      </c>
      <c r="J26" s="41">
        <f>IF(OR(N(C26)=0,N(D26)=0,N(E26)=0),"",DAYS360(I26,E26,TRUE)+1+IF(AND(MONTH(E26+1)=3,DAY(E26+1)=1),30-DAY(E26),0))</f>
        <v/>
      </c>
      <c r="K26" s="40">
        <f>IF(OR(N(C26)=0,N(D26)=0,N(E26)=0),"",G26*H26/360)</f>
        <v/>
      </c>
      <c r="L26" s="40">
        <f>IF(OR(N(C26)=0,N(D26)=0,N(E26)=0),"",K26*H26*12%/360)</f>
        <v/>
      </c>
      <c r="M26" s="40">
        <f>IF(OR(N(C26)=0,N(D26)=0,N(E26)=0),"",G26*J26/360)</f>
        <v/>
      </c>
      <c r="N26" s="40">
        <f>IF(OR(N(C26)=0,N(D26)=0,N(E26)=0),"",C26*H26/720)</f>
        <v/>
      </c>
      <c r="O26" s="43">
        <f>IF(OR(N(C26)=0,N(D26)=0,N(E26)=0),"",K26+L26+M26+N26)</f>
        <v/>
      </c>
    </row>
    <row r="27">
      <c r="B27" s="33" t="n"/>
      <c r="C27" s="34" t="n"/>
      <c r="D27" s="35" t="n"/>
      <c r="E27" s="35" t="n"/>
      <c r="F27" s="36">
        <f>IF(OR(N(C27)=0,N(D27)=0,N(E27)=0),"",IF(C27&lt;=2*Prestaciones!$C$16,Prestaciones!$C$17,0))</f>
        <v/>
      </c>
      <c r="G27" s="36">
        <f>IF(OR(N(C27)=0,N(D27)=0,N(E27)=0),"",C27+F27)</f>
        <v/>
      </c>
      <c r="H27" s="37">
        <f>IF(OR(N(C27)=0,N(D27)=0,N(E27)=0),"",DAYS360(D27,E27,TRUE)+1+IF(AND(MONTH(E27+1)=3,DAY(E27+1)=1),30-DAY(E27),0))</f>
        <v/>
      </c>
      <c r="I27" s="38">
        <f>IF(OR(N(C27)=0,N(D27)=0,N(E27)=0),"",MAX(D27,IF(MONTH(E27)&lt;=6,DATE(YEAR(E27),1,1),DATE(YEAR(E27),7,1))))</f>
        <v/>
      </c>
      <c r="J27" s="37">
        <f>IF(OR(N(C27)=0,N(D27)=0,N(E27)=0),"",DAYS360(I27,E27,TRUE)+1+IF(AND(MONTH(E27+1)=3,DAY(E27+1)=1),30-DAY(E27),0))</f>
        <v/>
      </c>
      <c r="K27" s="36">
        <f>IF(OR(N(C27)=0,N(D27)=0,N(E27)=0),"",G27*H27/360)</f>
        <v/>
      </c>
      <c r="L27" s="36">
        <f>IF(OR(N(C27)=0,N(D27)=0,N(E27)=0),"",K27*H27*12%/360)</f>
        <v/>
      </c>
      <c r="M27" s="36">
        <f>IF(OR(N(C27)=0,N(D27)=0,N(E27)=0),"",G27*J27/360)</f>
        <v/>
      </c>
      <c r="N27" s="36">
        <f>IF(OR(N(C27)=0,N(D27)=0,N(E27)=0),"",C27*H27/720)</f>
        <v/>
      </c>
      <c r="O27" s="39">
        <f>IF(OR(N(C27)=0,N(D27)=0,N(E27)=0),"",K27+L27+M27+N27)</f>
        <v/>
      </c>
    </row>
    <row r="28">
      <c r="B28" s="33" t="n"/>
      <c r="C28" s="34" t="n"/>
      <c r="D28" s="35" t="n"/>
      <c r="E28" s="35" t="n"/>
      <c r="F28" s="40">
        <f>IF(OR(N(C28)=0,N(D28)=0,N(E28)=0),"",IF(C28&lt;=2*Prestaciones!$C$16,Prestaciones!$C$17,0))</f>
        <v/>
      </c>
      <c r="G28" s="40">
        <f>IF(OR(N(C28)=0,N(D28)=0,N(E28)=0),"",C28+F28)</f>
        <v/>
      </c>
      <c r="H28" s="41">
        <f>IF(OR(N(C28)=0,N(D28)=0,N(E28)=0),"",DAYS360(D28,E28,TRUE)+1+IF(AND(MONTH(E28+1)=3,DAY(E28+1)=1),30-DAY(E28),0))</f>
        <v/>
      </c>
      <c r="I28" s="42">
        <f>IF(OR(N(C28)=0,N(D28)=0,N(E28)=0),"",MAX(D28,IF(MONTH(E28)&lt;=6,DATE(YEAR(E28),1,1),DATE(YEAR(E28),7,1))))</f>
        <v/>
      </c>
      <c r="J28" s="41">
        <f>IF(OR(N(C28)=0,N(D28)=0,N(E28)=0),"",DAYS360(I28,E28,TRUE)+1+IF(AND(MONTH(E28+1)=3,DAY(E28+1)=1),30-DAY(E28),0))</f>
        <v/>
      </c>
      <c r="K28" s="40">
        <f>IF(OR(N(C28)=0,N(D28)=0,N(E28)=0),"",G28*H28/360)</f>
        <v/>
      </c>
      <c r="L28" s="40">
        <f>IF(OR(N(C28)=0,N(D28)=0,N(E28)=0),"",K28*H28*12%/360)</f>
        <v/>
      </c>
      <c r="M28" s="40">
        <f>IF(OR(N(C28)=0,N(D28)=0,N(E28)=0),"",G28*J28/360)</f>
        <v/>
      </c>
      <c r="N28" s="40">
        <f>IF(OR(N(C28)=0,N(D28)=0,N(E28)=0),"",C28*H28/720)</f>
        <v/>
      </c>
      <c r="O28" s="43">
        <f>IF(OR(N(C28)=0,N(D28)=0,N(E28)=0),"",K28+L28+M28+N28)</f>
        <v/>
      </c>
    </row>
    <row r="29">
      <c r="B29" s="33" t="n"/>
      <c r="C29" s="34" t="n"/>
      <c r="D29" s="35" t="n"/>
      <c r="E29" s="35" t="n"/>
      <c r="F29" s="36">
        <f>IF(OR(N(C29)=0,N(D29)=0,N(E29)=0),"",IF(C29&lt;=2*Prestaciones!$C$16,Prestaciones!$C$17,0))</f>
        <v/>
      </c>
      <c r="G29" s="36">
        <f>IF(OR(N(C29)=0,N(D29)=0,N(E29)=0),"",C29+F29)</f>
        <v/>
      </c>
      <c r="H29" s="37">
        <f>IF(OR(N(C29)=0,N(D29)=0,N(E29)=0),"",DAYS360(D29,E29,TRUE)+1+IF(AND(MONTH(E29+1)=3,DAY(E29+1)=1),30-DAY(E29),0))</f>
        <v/>
      </c>
      <c r="I29" s="38">
        <f>IF(OR(N(C29)=0,N(D29)=0,N(E29)=0),"",MAX(D29,IF(MONTH(E29)&lt;=6,DATE(YEAR(E29),1,1),DATE(YEAR(E29),7,1))))</f>
        <v/>
      </c>
      <c r="J29" s="37">
        <f>IF(OR(N(C29)=0,N(D29)=0,N(E29)=0),"",DAYS360(I29,E29,TRUE)+1+IF(AND(MONTH(E29+1)=3,DAY(E29+1)=1),30-DAY(E29),0))</f>
        <v/>
      </c>
      <c r="K29" s="36">
        <f>IF(OR(N(C29)=0,N(D29)=0,N(E29)=0),"",G29*H29/360)</f>
        <v/>
      </c>
      <c r="L29" s="36">
        <f>IF(OR(N(C29)=0,N(D29)=0,N(E29)=0),"",K29*H29*12%/360)</f>
        <v/>
      </c>
      <c r="M29" s="36">
        <f>IF(OR(N(C29)=0,N(D29)=0,N(E29)=0),"",G29*J29/360)</f>
        <v/>
      </c>
      <c r="N29" s="36">
        <f>IF(OR(N(C29)=0,N(D29)=0,N(E29)=0),"",C29*H29/720)</f>
        <v/>
      </c>
      <c r="O29" s="39">
        <f>IF(OR(N(C29)=0,N(D29)=0,N(E29)=0),"",K29+L29+M29+N29)</f>
        <v/>
      </c>
    </row>
    <row r="30">
      <c r="B30" s="33" t="n"/>
      <c r="C30" s="34" t="n"/>
      <c r="D30" s="35" t="n"/>
      <c r="E30" s="35" t="n"/>
      <c r="F30" s="40">
        <f>IF(OR(N(C30)=0,N(D30)=0,N(E30)=0),"",IF(C30&lt;=2*Prestaciones!$C$16,Prestaciones!$C$17,0))</f>
        <v/>
      </c>
      <c r="G30" s="40">
        <f>IF(OR(N(C30)=0,N(D30)=0,N(E30)=0),"",C30+F30)</f>
        <v/>
      </c>
      <c r="H30" s="41">
        <f>IF(OR(N(C30)=0,N(D30)=0,N(E30)=0),"",DAYS360(D30,E30,TRUE)+1+IF(AND(MONTH(E30+1)=3,DAY(E30+1)=1),30-DAY(E30),0))</f>
        <v/>
      </c>
      <c r="I30" s="42">
        <f>IF(OR(N(C30)=0,N(D30)=0,N(E30)=0),"",MAX(D30,IF(MONTH(E30)&lt;=6,DATE(YEAR(E30),1,1),DATE(YEAR(E30),7,1))))</f>
        <v/>
      </c>
      <c r="J30" s="41">
        <f>IF(OR(N(C30)=0,N(D30)=0,N(E30)=0),"",DAYS360(I30,E30,TRUE)+1+IF(AND(MONTH(E30+1)=3,DAY(E30+1)=1),30-DAY(E30),0))</f>
        <v/>
      </c>
      <c r="K30" s="40">
        <f>IF(OR(N(C30)=0,N(D30)=0,N(E30)=0),"",G30*H30/360)</f>
        <v/>
      </c>
      <c r="L30" s="40">
        <f>IF(OR(N(C30)=0,N(D30)=0,N(E30)=0),"",K30*H30*12%/360)</f>
        <v/>
      </c>
      <c r="M30" s="40">
        <f>IF(OR(N(C30)=0,N(D30)=0,N(E30)=0),"",G30*J30/360)</f>
        <v/>
      </c>
      <c r="N30" s="40">
        <f>IF(OR(N(C30)=0,N(D30)=0,N(E30)=0),"",C30*H30/720)</f>
        <v/>
      </c>
      <c r="O30" s="43">
        <f>IF(OR(N(C30)=0,N(D30)=0,N(E30)=0),"",K30+L30+M30+N30)</f>
        <v/>
      </c>
    </row>
    <row r="31">
      <c r="B31" s="33" t="n"/>
      <c r="C31" s="34" t="n"/>
      <c r="D31" s="35" t="n"/>
      <c r="E31" s="35" t="n"/>
      <c r="F31" s="36">
        <f>IF(OR(N(C31)=0,N(D31)=0,N(E31)=0),"",IF(C31&lt;=2*Prestaciones!$C$16,Prestaciones!$C$17,0))</f>
        <v/>
      </c>
      <c r="G31" s="36">
        <f>IF(OR(N(C31)=0,N(D31)=0,N(E31)=0),"",C31+F31)</f>
        <v/>
      </c>
      <c r="H31" s="37">
        <f>IF(OR(N(C31)=0,N(D31)=0,N(E31)=0),"",DAYS360(D31,E31,TRUE)+1+IF(AND(MONTH(E31+1)=3,DAY(E31+1)=1),30-DAY(E31),0))</f>
        <v/>
      </c>
      <c r="I31" s="38">
        <f>IF(OR(N(C31)=0,N(D31)=0,N(E31)=0),"",MAX(D31,IF(MONTH(E31)&lt;=6,DATE(YEAR(E31),1,1),DATE(YEAR(E31),7,1))))</f>
        <v/>
      </c>
      <c r="J31" s="37">
        <f>IF(OR(N(C31)=0,N(D31)=0,N(E31)=0),"",DAYS360(I31,E31,TRUE)+1+IF(AND(MONTH(E31+1)=3,DAY(E31+1)=1),30-DAY(E31),0))</f>
        <v/>
      </c>
      <c r="K31" s="36">
        <f>IF(OR(N(C31)=0,N(D31)=0,N(E31)=0),"",G31*H31/360)</f>
        <v/>
      </c>
      <c r="L31" s="36">
        <f>IF(OR(N(C31)=0,N(D31)=0,N(E31)=0),"",K31*H31*12%/360)</f>
        <v/>
      </c>
      <c r="M31" s="36">
        <f>IF(OR(N(C31)=0,N(D31)=0,N(E31)=0),"",G31*J31/360)</f>
        <v/>
      </c>
      <c r="N31" s="36">
        <f>IF(OR(N(C31)=0,N(D31)=0,N(E31)=0),"",C31*H31/720)</f>
        <v/>
      </c>
      <c r="O31" s="39">
        <f>IF(OR(N(C31)=0,N(D31)=0,N(E31)=0),"",K31+L31+M31+N31)</f>
        <v/>
      </c>
    </row>
    <row r="32">
      <c r="B32" s="33" t="n"/>
      <c r="C32" s="34" t="n"/>
      <c r="D32" s="35" t="n"/>
      <c r="E32" s="35" t="n"/>
      <c r="F32" s="40">
        <f>IF(OR(N(C32)=0,N(D32)=0,N(E32)=0),"",IF(C32&lt;=2*Prestaciones!$C$16,Prestaciones!$C$17,0))</f>
        <v/>
      </c>
      <c r="G32" s="40">
        <f>IF(OR(N(C32)=0,N(D32)=0,N(E32)=0),"",C32+F32)</f>
        <v/>
      </c>
      <c r="H32" s="41">
        <f>IF(OR(N(C32)=0,N(D32)=0,N(E32)=0),"",DAYS360(D32,E32,TRUE)+1+IF(AND(MONTH(E32+1)=3,DAY(E32+1)=1),30-DAY(E32),0))</f>
        <v/>
      </c>
      <c r="I32" s="42">
        <f>IF(OR(N(C32)=0,N(D32)=0,N(E32)=0),"",MAX(D32,IF(MONTH(E32)&lt;=6,DATE(YEAR(E32),1,1),DATE(YEAR(E32),7,1))))</f>
        <v/>
      </c>
      <c r="J32" s="41">
        <f>IF(OR(N(C32)=0,N(D32)=0,N(E32)=0),"",DAYS360(I32,E32,TRUE)+1+IF(AND(MONTH(E32+1)=3,DAY(E32+1)=1),30-DAY(E32),0))</f>
        <v/>
      </c>
      <c r="K32" s="40">
        <f>IF(OR(N(C32)=0,N(D32)=0,N(E32)=0),"",G32*H32/360)</f>
        <v/>
      </c>
      <c r="L32" s="40">
        <f>IF(OR(N(C32)=0,N(D32)=0,N(E32)=0),"",K32*H32*12%/360)</f>
        <v/>
      </c>
      <c r="M32" s="40">
        <f>IF(OR(N(C32)=0,N(D32)=0,N(E32)=0),"",G32*J32/360)</f>
        <v/>
      </c>
      <c r="N32" s="40">
        <f>IF(OR(N(C32)=0,N(D32)=0,N(E32)=0),"",C32*H32/720)</f>
        <v/>
      </c>
      <c r="O32" s="43">
        <f>IF(OR(N(C32)=0,N(D32)=0,N(E32)=0),"",K32+L32+M32+N32)</f>
        <v/>
      </c>
    </row>
    <row r="33">
      <c r="B33" s="33" t="n"/>
      <c r="C33" s="34" t="n"/>
      <c r="D33" s="35" t="n"/>
      <c r="E33" s="35" t="n"/>
      <c r="F33" s="36">
        <f>IF(OR(N(C33)=0,N(D33)=0,N(E33)=0),"",IF(C33&lt;=2*Prestaciones!$C$16,Prestaciones!$C$17,0))</f>
        <v/>
      </c>
      <c r="G33" s="36">
        <f>IF(OR(N(C33)=0,N(D33)=0,N(E33)=0),"",C33+F33)</f>
        <v/>
      </c>
      <c r="H33" s="37">
        <f>IF(OR(N(C33)=0,N(D33)=0,N(E33)=0),"",DAYS360(D33,E33,TRUE)+1+IF(AND(MONTH(E33+1)=3,DAY(E33+1)=1),30-DAY(E33),0))</f>
        <v/>
      </c>
      <c r="I33" s="38">
        <f>IF(OR(N(C33)=0,N(D33)=0,N(E33)=0),"",MAX(D33,IF(MONTH(E33)&lt;=6,DATE(YEAR(E33),1,1),DATE(YEAR(E33),7,1))))</f>
        <v/>
      </c>
      <c r="J33" s="37">
        <f>IF(OR(N(C33)=0,N(D33)=0,N(E33)=0),"",DAYS360(I33,E33,TRUE)+1+IF(AND(MONTH(E33+1)=3,DAY(E33+1)=1),30-DAY(E33),0))</f>
        <v/>
      </c>
      <c r="K33" s="36">
        <f>IF(OR(N(C33)=0,N(D33)=0,N(E33)=0),"",G33*H33/360)</f>
        <v/>
      </c>
      <c r="L33" s="36">
        <f>IF(OR(N(C33)=0,N(D33)=0,N(E33)=0),"",K33*H33*12%/360)</f>
        <v/>
      </c>
      <c r="M33" s="36">
        <f>IF(OR(N(C33)=0,N(D33)=0,N(E33)=0),"",G33*J33/360)</f>
        <v/>
      </c>
      <c r="N33" s="36">
        <f>IF(OR(N(C33)=0,N(D33)=0,N(E33)=0),"",C33*H33/720)</f>
        <v/>
      </c>
      <c r="O33" s="39">
        <f>IF(OR(N(C33)=0,N(D33)=0,N(E33)=0),"",K33+L33+M33+N33)</f>
        <v/>
      </c>
    </row>
    <row r="34">
      <c r="B34" s="33" t="n"/>
      <c r="C34" s="34" t="n"/>
      <c r="D34" s="35" t="n"/>
      <c r="E34" s="35" t="n"/>
      <c r="F34" s="40">
        <f>IF(OR(N(C34)=0,N(D34)=0,N(E34)=0),"",IF(C34&lt;=2*Prestaciones!$C$16,Prestaciones!$C$17,0))</f>
        <v/>
      </c>
      <c r="G34" s="40">
        <f>IF(OR(N(C34)=0,N(D34)=0,N(E34)=0),"",C34+F34)</f>
        <v/>
      </c>
      <c r="H34" s="41">
        <f>IF(OR(N(C34)=0,N(D34)=0,N(E34)=0),"",DAYS360(D34,E34,TRUE)+1+IF(AND(MONTH(E34+1)=3,DAY(E34+1)=1),30-DAY(E34),0))</f>
        <v/>
      </c>
      <c r="I34" s="42">
        <f>IF(OR(N(C34)=0,N(D34)=0,N(E34)=0),"",MAX(D34,IF(MONTH(E34)&lt;=6,DATE(YEAR(E34),1,1),DATE(YEAR(E34),7,1))))</f>
        <v/>
      </c>
      <c r="J34" s="41">
        <f>IF(OR(N(C34)=0,N(D34)=0,N(E34)=0),"",DAYS360(I34,E34,TRUE)+1+IF(AND(MONTH(E34+1)=3,DAY(E34+1)=1),30-DAY(E34),0))</f>
        <v/>
      </c>
      <c r="K34" s="40">
        <f>IF(OR(N(C34)=0,N(D34)=0,N(E34)=0),"",G34*H34/360)</f>
        <v/>
      </c>
      <c r="L34" s="40">
        <f>IF(OR(N(C34)=0,N(D34)=0,N(E34)=0),"",K34*H34*12%/360)</f>
        <v/>
      </c>
      <c r="M34" s="40">
        <f>IF(OR(N(C34)=0,N(D34)=0,N(E34)=0),"",G34*J34/360)</f>
        <v/>
      </c>
      <c r="N34" s="40">
        <f>IF(OR(N(C34)=0,N(D34)=0,N(E34)=0),"",C34*H34/720)</f>
        <v/>
      </c>
      <c r="O34" s="43">
        <f>IF(OR(N(C34)=0,N(D34)=0,N(E34)=0),"",K34+L34+M34+N34)</f>
        <v/>
      </c>
    </row>
    <row r="35">
      <c r="B35" s="33" t="n"/>
      <c r="C35" s="34" t="n"/>
      <c r="D35" s="35" t="n"/>
      <c r="E35" s="35" t="n"/>
      <c r="F35" s="36">
        <f>IF(OR(N(C35)=0,N(D35)=0,N(E35)=0),"",IF(C35&lt;=2*Prestaciones!$C$16,Prestaciones!$C$17,0))</f>
        <v/>
      </c>
      <c r="G35" s="36">
        <f>IF(OR(N(C35)=0,N(D35)=0,N(E35)=0),"",C35+F35)</f>
        <v/>
      </c>
      <c r="H35" s="37">
        <f>IF(OR(N(C35)=0,N(D35)=0,N(E35)=0),"",DAYS360(D35,E35,TRUE)+1+IF(AND(MONTH(E35+1)=3,DAY(E35+1)=1),30-DAY(E35),0))</f>
        <v/>
      </c>
      <c r="I35" s="38">
        <f>IF(OR(N(C35)=0,N(D35)=0,N(E35)=0),"",MAX(D35,IF(MONTH(E35)&lt;=6,DATE(YEAR(E35),1,1),DATE(YEAR(E35),7,1))))</f>
        <v/>
      </c>
      <c r="J35" s="37">
        <f>IF(OR(N(C35)=0,N(D35)=0,N(E35)=0),"",DAYS360(I35,E35,TRUE)+1+IF(AND(MONTH(E35+1)=3,DAY(E35+1)=1),30-DAY(E35),0))</f>
        <v/>
      </c>
      <c r="K35" s="36">
        <f>IF(OR(N(C35)=0,N(D35)=0,N(E35)=0),"",G35*H35/360)</f>
        <v/>
      </c>
      <c r="L35" s="36">
        <f>IF(OR(N(C35)=0,N(D35)=0,N(E35)=0),"",K35*H35*12%/360)</f>
        <v/>
      </c>
      <c r="M35" s="36">
        <f>IF(OR(N(C35)=0,N(D35)=0,N(E35)=0),"",G35*J35/360)</f>
        <v/>
      </c>
      <c r="N35" s="36">
        <f>IF(OR(N(C35)=0,N(D35)=0,N(E35)=0),"",C35*H35/720)</f>
        <v/>
      </c>
      <c r="O35" s="39">
        <f>IF(OR(N(C35)=0,N(D35)=0,N(E35)=0),"",K35+L35+M35+N35)</f>
        <v/>
      </c>
    </row>
    <row r="36">
      <c r="B36" s="33" t="n"/>
      <c r="C36" s="34" t="n"/>
      <c r="D36" s="35" t="n"/>
      <c r="E36" s="35" t="n"/>
      <c r="F36" s="40">
        <f>IF(OR(N(C36)=0,N(D36)=0,N(E36)=0),"",IF(C36&lt;=2*Prestaciones!$C$16,Prestaciones!$C$17,0))</f>
        <v/>
      </c>
      <c r="G36" s="40">
        <f>IF(OR(N(C36)=0,N(D36)=0,N(E36)=0),"",C36+F36)</f>
        <v/>
      </c>
      <c r="H36" s="41">
        <f>IF(OR(N(C36)=0,N(D36)=0,N(E36)=0),"",DAYS360(D36,E36,TRUE)+1+IF(AND(MONTH(E36+1)=3,DAY(E36+1)=1),30-DAY(E36),0))</f>
        <v/>
      </c>
      <c r="I36" s="42">
        <f>IF(OR(N(C36)=0,N(D36)=0,N(E36)=0),"",MAX(D36,IF(MONTH(E36)&lt;=6,DATE(YEAR(E36),1,1),DATE(YEAR(E36),7,1))))</f>
        <v/>
      </c>
      <c r="J36" s="41">
        <f>IF(OR(N(C36)=0,N(D36)=0,N(E36)=0),"",DAYS360(I36,E36,TRUE)+1+IF(AND(MONTH(E36+1)=3,DAY(E36+1)=1),30-DAY(E36),0))</f>
        <v/>
      </c>
      <c r="K36" s="40">
        <f>IF(OR(N(C36)=0,N(D36)=0,N(E36)=0),"",G36*H36/360)</f>
        <v/>
      </c>
      <c r="L36" s="40">
        <f>IF(OR(N(C36)=0,N(D36)=0,N(E36)=0),"",K36*H36*12%/360)</f>
        <v/>
      </c>
      <c r="M36" s="40">
        <f>IF(OR(N(C36)=0,N(D36)=0,N(E36)=0),"",G36*J36/360)</f>
        <v/>
      </c>
      <c r="N36" s="40">
        <f>IF(OR(N(C36)=0,N(D36)=0,N(E36)=0),"",C36*H36/720)</f>
        <v/>
      </c>
      <c r="O36" s="43">
        <f>IF(OR(N(C36)=0,N(D36)=0,N(E36)=0),"",K36+L36+M36+N36)</f>
        <v/>
      </c>
    </row>
    <row r="37">
      <c r="B37" s="33" t="n"/>
      <c r="C37" s="34" t="n"/>
      <c r="D37" s="35" t="n"/>
      <c r="E37" s="35" t="n"/>
      <c r="F37" s="36">
        <f>IF(OR(N(C37)=0,N(D37)=0,N(E37)=0),"",IF(C37&lt;=2*Prestaciones!$C$16,Prestaciones!$C$17,0))</f>
        <v/>
      </c>
      <c r="G37" s="36">
        <f>IF(OR(N(C37)=0,N(D37)=0,N(E37)=0),"",C37+F37)</f>
        <v/>
      </c>
      <c r="H37" s="37">
        <f>IF(OR(N(C37)=0,N(D37)=0,N(E37)=0),"",DAYS360(D37,E37,TRUE)+1+IF(AND(MONTH(E37+1)=3,DAY(E37+1)=1),30-DAY(E37),0))</f>
        <v/>
      </c>
      <c r="I37" s="38">
        <f>IF(OR(N(C37)=0,N(D37)=0,N(E37)=0),"",MAX(D37,IF(MONTH(E37)&lt;=6,DATE(YEAR(E37),1,1),DATE(YEAR(E37),7,1))))</f>
        <v/>
      </c>
      <c r="J37" s="37">
        <f>IF(OR(N(C37)=0,N(D37)=0,N(E37)=0),"",DAYS360(I37,E37,TRUE)+1+IF(AND(MONTH(E37+1)=3,DAY(E37+1)=1),30-DAY(E37),0))</f>
        <v/>
      </c>
      <c r="K37" s="36">
        <f>IF(OR(N(C37)=0,N(D37)=0,N(E37)=0),"",G37*H37/360)</f>
        <v/>
      </c>
      <c r="L37" s="36">
        <f>IF(OR(N(C37)=0,N(D37)=0,N(E37)=0),"",K37*H37*12%/360)</f>
        <v/>
      </c>
      <c r="M37" s="36">
        <f>IF(OR(N(C37)=0,N(D37)=0,N(E37)=0),"",G37*J37/360)</f>
        <v/>
      </c>
      <c r="N37" s="36">
        <f>IF(OR(N(C37)=0,N(D37)=0,N(E37)=0),"",C37*H37/720)</f>
        <v/>
      </c>
      <c r="O37" s="39">
        <f>IF(OR(N(C37)=0,N(D37)=0,N(E37)=0),"",K37+L37+M37+N37)</f>
        <v/>
      </c>
    </row>
    <row r="38">
      <c r="B38" s="33" t="n"/>
      <c r="C38" s="34" t="n"/>
      <c r="D38" s="35" t="n"/>
      <c r="E38" s="35" t="n"/>
      <c r="F38" s="40">
        <f>IF(OR(N(C38)=0,N(D38)=0,N(E38)=0),"",IF(C38&lt;=2*Prestaciones!$C$16,Prestaciones!$C$17,0))</f>
        <v/>
      </c>
      <c r="G38" s="40">
        <f>IF(OR(N(C38)=0,N(D38)=0,N(E38)=0),"",C38+F38)</f>
        <v/>
      </c>
      <c r="H38" s="41">
        <f>IF(OR(N(C38)=0,N(D38)=0,N(E38)=0),"",DAYS360(D38,E38,TRUE)+1+IF(AND(MONTH(E38+1)=3,DAY(E38+1)=1),30-DAY(E38),0))</f>
        <v/>
      </c>
      <c r="I38" s="42">
        <f>IF(OR(N(C38)=0,N(D38)=0,N(E38)=0),"",MAX(D38,IF(MONTH(E38)&lt;=6,DATE(YEAR(E38),1,1),DATE(YEAR(E38),7,1))))</f>
        <v/>
      </c>
      <c r="J38" s="41">
        <f>IF(OR(N(C38)=0,N(D38)=0,N(E38)=0),"",DAYS360(I38,E38,TRUE)+1+IF(AND(MONTH(E38+1)=3,DAY(E38+1)=1),30-DAY(E38),0))</f>
        <v/>
      </c>
      <c r="K38" s="40">
        <f>IF(OR(N(C38)=0,N(D38)=0,N(E38)=0),"",G38*H38/360)</f>
        <v/>
      </c>
      <c r="L38" s="40">
        <f>IF(OR(N(C38)=0,N(D38)=0,N(E38)=0),"",K38*H38*12%/360)</f>
        <v/>
      </c>
      <c r="M38" s="40">
        <f>IF(OR(N(C38)=0,N(D38)=0,N(E38)=0),"",G38*J38/360)</f>
        <v/>
      </c>
      <c r="N38" s="40">
        <f>IF(OR(N(C38)=0,N(D38)=0,N(E38)=0),"",C38*H38/720)</f>
        <v/>
      </c>
      <c r="O38" s="43">
        <f>IF(OR(N(C38)=0,N(D38)=0,N(E38)=0),"",K38+L38+M38+N38)</f>
        <v/>
      </c>
    </row>
    <row r="39">
      <c r="B39" s="33" t="n"/>
      <c r="C39" s="34" t="n"/>
      <c r="D39" s="35" t="n"/>
      <c r="E39" s="35" t="n"/>
      <c r="F39" s="36">
        <f>IF(OR(N(C39)=0,N(D39)=0,N(E39)=0),"",IF(C39&lt;=2*Prestaciones!$C$16,Prestaciones!$C$17,0))</f>
        <v/>
      </c>
      <c r="G39" s="36">
        <f>IF(OR(N(C39)=0,N(D39)=0,N(E39)=0),"",C39+F39)</f>
        <v/>
      </c>
      <c r="H39" s="37">
        <f>IF(OR(N(C39)=0,N(D39)=0,N(E39)=0),"",DAYS360(D39,E39,TRUE)+1+IF(AND(MONTH(E39+1)=3,DAY(E39+1)=1),30-DAY(E39),0))</f>
        <v/>
      </c>
      <c r="I39" s="38">
        <f>IF(OR(N(C39)=0,N(D39)=0,N(E39)=0),"",MAX(D39,IF(MONTH(E39)&lt;=6,DATE(YEAR(E39),1,1),DATE(YEAR(E39),7,1))))</f>
        <v/>
      </c>
      <c r="J39" s="37">
        <f>IF(OR(N(C39)=0,N(D39)=0,N(E39)=0),"",DAYS360(I39,E39,TRUE)+1+IF(AND(MONTH(E39+1)=3,DAY(E39+1)=1),30-DAY(E39),0))</f>
        <v/>
      </c>
      <c r="K39" s="36">
        <f>IF(OR(N(C39)=0,N(D39)=0,N(E39)=0),"",G39*H39/360)</f>
        <v/>
      </c>
      <c r="L39" s="36">
        <f>IF(OR(N(C39)=0,N(D39)=0,N(E39)=0),"",K39*H39*12%/360)</f>
        <v/>
      </c>
      <c r="M39" s="36">
        <f>IF(OR(N(C39)=0,N(D39)=0,N(E39)=0),"",G39*J39/360)</f>
        <v/>
      </c>
      <c r="N39" s="36">
        <f>IF(OR(N(C39)=0,N(D39)=0,N(E39)=0),"",C39*H39/720)</f>
        <v/>
      </c>
      <c r="O39" s="39">
        <f>IF(OR(N(C39)=0,N(D39)=0,N(E39)=0),"",K39+L39+M39+N39)</f>
        <v/>
      </c>
    </row>
    <row r="40">
      <c r="B40" s="33" t="n"/>
      <c r="C40" s="34" t="n"/>
      <c r="D40" s="35" t="n"/>
      <c r="E40" s="35" t="n"/>
      <c r="F40" s="40">
        <f>IF(OR(N(C40)=0,N(D40)=0,N(E40)=0),"",IF(C40&lt;=2*Prestaciones!$C$16,Prestaciones!$C$17,0))</f>
        <v/>
      </c>
      <c r="G40" s="40">
        <f>IF(OR(N(C40)=0,N(D40)=0,N(E40)=0),"",C40+F40)</f>
        <v/>
      </c>
      <c r="H40" s="41">
        <f>IF(OR(N(C40)=0,N(D40)=0,N(E40)=0),"",DAYS360(D40,E40,TRUE)+1+IF(AND(MONTH(E40+1)=3,DAY(E40+1)=1),30-DAY(E40),0))</f>
        <v/>
      </c>
      <c r="I40" s="42">
        <f>IF(OR(N(C40)=0,N(D40)=0,N(E40)=0),"",MAX(D40,IF(MONTH(E40)&lt;=6,DATE(YEAR(E40),1,1),DATE(YEAR(E40),7,1))))</f>
        <v/>
      </c>
      <c r="J40" s="41">
        <f>IF(OR(N(C40)=0,N(D40)=0,N(E40)=0),"",DAYS360(I40,E40,TRUE)+1+IF(AND(MONTH(E40+1)=3,DAY(E40+1)=1),30-DAY(E40),0))</f>
        <v/>
      </c>
      <c r="K40" s="40">
        <f>IF(OR(N(C40)=0,N(D40)=0,N(E40)=0),"",G40*H40/360)</f>
        <v/>
      </c>
      <c r="L40" s="40">
        <f>IF(OR(N(C40)=0,N(D40)=0,N(E40)=0),"",K40*H40*12%/360)</f>
        <v/>
      </c>
      <c r="M40" s="40">
        <f>IF(OR(N(C40)=0,N(D40)=0,N(E40)=0),"",G40*J40/360)</f>
        <v/>
      </c>
      <c r="N40" s="40">
        <f>IF(OR(N(C40)=0,N(D40)=0,N(E40)=0),"",C40*H40/720)</f>
        <v/>
      </c>
      <c r="O40" s="43">
        <f>IF(OR(N(C40)=0,N(D40)=0,N(E40)=0),"",K40+L40+M40+N40)</f>
        <v/>
      </c>
    </row>
    <row r="41" ht="24" customHeight="1">
      <c r="B41" s="44" t="inlineStr">
        <is>
          <t>Totales</t>
        </is>
      </c>
      <c r="C41" s="45">
        <f>SUM(C11:C40)</f>
        <v/>
      </c>
      <c r="D41" s="44" t="n"/>
      <c r="E41" s="44" t="n"/>
      <c r="F41" s="44" t="n"/>
      <c r="G41" s="44" t="n"/>
      <c r="H41" s="44" t="n"/>
      <c r="I41" s="44" t="n"/>
      <c r="J41" s="44" t="n"/>
      <c r="K41" s="45">
        <f>SUM(K11:K40)</f>
        <v/>
      </c>
      <c r="L41" s="45">
        <f>SUM(L11:L40)</f>
        <v/>
      </c>
      <c r="M41" s="45">
        <f>SUM(M11:M40)</f>
        <v/>
      </c>
      <c r="N41" s="45">
        <f>SUM(N11:N40)</f>
        <v/>
      </c>
      <c r="O41" s="46">
        <f>SUM(O11:O40)</f>
        <v/>
      </c>
    </row>
    <row r="43" ht="28" customHeight="1">
      <c r="B43" s="23" t="inlineStr">
        <is>
          <t>Mismo cálculo de la hoja «Prestaciones». Salario mínimo y auxilio de transporte tomados de esa hoja.</t>
        </is>
      </c>
    </row>
    <row r="45" ht="8" customHeight="1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</row>
    <row r="46">
      <c r="A46" s="25" t="n"/>
      <c r="B46" s="26" t="inlineStr">
        <is>
          <t>¿Prefieres que lo hagamos por ti?</t>
        </is>
      </c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</row>
    <row r="47">
      <c r="A47" s="25" t="n"/>
      <c r="B47" s="27" t="inlineStr">
        <is>
          <t>Contabilidad · Impuestos · Revisoría fiscal y auditoría · Nómina electrónica</t>
        </is>
      </c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</row>
    <row r="48">
      <c r="A48" s="25" t="n"/>
      <c r="B48" s="28" t="inlineStr">
        <is>
          <t>Escríbenos por WhatsApp: 300 507 4934</t>
        </is>
      </c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</row>
    <row r="49">
      <c r="A49" s="25" t="n"/>
      <c r="B49" s="28" t="inlineStr">
        <is>
          <t>Agenda una cita</t>
        </is>
      </c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</row>
    <row r="50">
      <c r="A50" s="25" t="n"/>
      <c r="B50" s="28" t="inlineStr">
        <is>
          <t>Calendario y calculadoras gratis: recursos.solucioncontableyfiscal.com</t>
        </is>
      </c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</row>
    <row r="51">
      <c r="A51" s="25" t="n"/>
      <c r="B51" s="28" t="inlineStr">
        <is>
          <t>Correo: solucontfisc@gmail.com</t>
        </is>
      </c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</row>
    <row r="52">
      <c r="A52" s="25" t="n"/>
      <c r="B52" s="29" t="inlineStr">
        <is>
          <t>SOLUCION CONTABLE Y FISCAL S.A.S. · Vía 40 #73-290, Edificio Mix, Oficina 612, Barranquilla · Atención virtual en toda Colombia</t>
        </is>
      </c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</row>
    <row r="53">
      <c r="A53" s="25" t="n"/>
      <c r="B53" s="30" t="inlineStr">
        <is>
          <t>Información de referencia; no reemplaza la asesoría profesional. Verifica tu caso particular con un contador.</t>
        </is>
      </c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</row>
    <row r="54" ht="8" customHeight="1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B49:O49"/>
    <mergeCell ref="B4:O4"/>
    <mergeCell ref="B53:O53"/>
    <mergeCell ref="B43:O43"/>
    <mergeCell ref="B52:O52"/>
    <mergeCell ref="B47:O47"/>
    <mergeCell ref="B2:O2"/>
    <mergeCell ref="B48:O48"/>
    <mergeCell ref="B3:O3"/>
    <mergeCell ref="B51:O51"/>
    <mergeCell ref="B46:O46"/>
    <mergeCell ref="B50:O50"/>
  </mergeCells>
  <dataValidations count="1">
    <dataValidation sqref="D11:E40" showDropDown="0" showInputMessage="0" showErrorMessage="1" allowBlank="1" error="Escribe una fecha válida (dd/mm/aaaa)." type="date" operator="between">
      <formula1>DATE(2000,1,1)</formula1>
      <formula2>DATE(2030,12,31)</formula2>
    </dataValidation>
  </dataValidations>
  <hyperlinks>
    <hyperlink xmlns:r="http://schemas.openxmlformats.org/officeDocument/2006/relationships" ref="B48" r:id="rId1"/>
    <hyperlink xmlns:r="http://schemas.openxmlformats.org/officeDocument/2006/relationships" ref="B49" r:id="rId2"/>
    <hyperlink xmlns:r="http://schemas.openxmlformats.org/officeDocument/2006/relationships" ref="B50" r:id="rId3"/>
    <hyperlink xmlns:r="http://schemas.openxmlformats.org/officeDocument/2006/relationships" ref="B51" r:id="rId4"/>
  </hyperlinks>
  <printOptions horizontalCentered="1"/>
  <pageMargins left="0.4" right="0.4" top="1" bottom="1" header="0.5" footer="0.5"/>
  <pageSetup orientation="landscape" paperSize="1" fitToHeight="0" fitToWidth="1"/>
  <headerFooter>
    <oddHeader/>
    <oddFooter>&amp;L&amp;8 Solución Contable y Fiscal · WhatsApp 300 507 4934&amp;R&amp;8 Página &amp;P de &amp;N</oddFooter>
    <evenHeader/>
    <evenFooter/>
    <firstHeader/>
    <firstFooter/>
  </headerFooter>
  <drawing xmlns:r="http://schemas.openxmlformats.org/officeDocument/2006/relationships" r:id="rId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Solución Contable y Fiscal S.A.S.</dc:creator>
  <dc:title xmlns:dc="http://purl.org/dc/elements/1.1/">Liquidador de prestaciones sociales 2026</dc:title>
  <dc:subject xmlns:dc="http://purl.org/dc/elements/1.1/">Cesantías, intereses, prima y vacaciones</dc:subject>
  <dcterms:created xmlns:dcterms="http://purl.org/dc/terms/" xmlns:xsi="http://www.w3.org/2001/XMLSchema-instance" xsi:type="dcterms:W3CDTF">2026-10-25T16:47:30Z</dcterms:created>
  <dcterms:modified xmlns:dcterms="http://purl.org/dc/terms/" xmlns:xsi="http://www.w3.org/2001/XMLSchema-instance" xsi:type="dcterms:W3CDTF">2026-10-25T16:47:30Z</dcterms:modified>
  <cp:keywords>Solución Contable y Fiscal, Colombia, DIAN, 2026</cp:keywords>
</cp:coreProperties>
</file>