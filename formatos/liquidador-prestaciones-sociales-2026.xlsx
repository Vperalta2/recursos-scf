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1B3562"/>
      <sz val="16"/>
    </font>
    <font>
      <name val="Calibri"/>
      <color rgb="005A6273"/>
      <sz val="9"/>
    </font>
    <font>
      <name val="Calibri"/>
      <b val="1"/>
      <color rgb="001B3562"/>
      <sz val="11"/>
    </font>
  </fonts>
  <fills count="3">
    <fill>
      <patternFill/>
    </fill>
    <fill>
      <patternFill patternType="gray125"/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E2DDCF"/>
      </left>
      <right style="thin">
        <color rgb="00E2DDCF"/>
      </right>
      <top style="thin">
        <color rgb="00E2DDCF"/>
      </top>
      <bottom style="thin">
        <color rgb="00E2DD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166" fontId="0" fillId="2" borderId="1" pivotButton="0" quotePrefix="0" xfId="0"/>
    <xf numFmtId="16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Liquidador de prestaciones sociales 2026</t>
        </is>
      </c>
    </row>
    <row r="2">
      <c r="A2" s="2" t="inlineStr">
        <is>
          <t>Llena las celdas amarillas. Año de 360 días. Supone que no se han pagado cesantías ni tomado vacaciones en el período.</t>
        </is>
      </c>
    </row>
    <row r="4">
      <c r="A4" t="inlineStr">
        <is>
          <t>Salario mensual</t>
        </is>
      </c>
      <c r="B4" s="3" t="n">
        <v>1750905</v>
      </c>
    </row>
    <row r="5">
      <c r="A5" t="inlineStr">
        <is>
          <t>Fecha de inicio</t>
        </is>
      </c>
      <c r="B5" s="4" t="n">
        <v>46023</v>
      </c>
    </row>
    <row r="6">
      <c r="A6" t="inlineStr">
        <is>
          <t>Fecha de corte</t>
        </is>
      </c>
      <c r="B6" s="4" t="n">
        <v>46326</v>
      </c>
    </row>
    <row r="7">
      <c r="A7" t="inlineStr">
        <is>
          <t>Salario mínimo 2026</t>
        </is>
      </c>
      <c r="B7" s="5" t="n">
        <v>1750905</v>
      </c>
    </row>
    <row r="8">
      <c r="A8" t="inlineStr">
        <is>
          <t>Auxilio de transporte 2026</t>
        </is>
      </c>
      <c r="B8" s="5" t="n">
        <v>249095</v>
      </c>
    </row>
    <row r="10">
      <c r="A10" t="inlineStr">
        <is>
          <t>Auxilio de transporte incluido (salario hasta 2 SMMLV)</t>
        </is>
      </c>
      <c r="B10" s="5">
        <f>IF(B4&lt;=2*B7,B8,0)</f>
        <v/>
      </c>
    </row>
    <row r="11">
      <c r="A11" t="inlineStr">
        <is>
          <t>Base para cesantías y prima</t>
        </is>
      </c>
      <c r="B11" s="5">
        <f>B4+B10</f>
        <v/>
      </c>
    </row>
    <row r="12">
      <c r="A12" t="inlineStr">
        <is>
          <t>Días trabajados</t>
        </is>
      </c>
      <c r="B12" s="6">
        <f>DAYS360(B5,B6,TRUE)+1+IF(AND(MONTH(B6+1)=3,DAY(B6+1)=1),30-DAY(B6),0)</f>
        <v/>
      </c>
    </row>
    <row r="13">
      <c r="A13" t="inlineStr">
        <is>
          <t>Inicio del semestre de la prima</t>
        </is>
      </c>
      <c r="B13" s="7">
        <f>MAX(B5,IF(MONTH(B6)&lt;=6,DATE(YEAR(B6),1,1),DATE(YEAR(B6),7,1)))</f>
        <v/>
      </c>
    </row>
    <row r="14">
      <c r="A14" t="inlineStr">
        <is>
          <t>Días de prima del semestre</t>
        </is>
      </c>
      <c r="B14" s="6">
        <f>DAYS360(B13,B6,TRUE)+1+IF(AND(MONTH(B6+1)=3,DAY(B6+1)=1),30-DAY(B6),0)</f>
        <v/>
      </c>
    </row>
    <row r="15">
      <c r="A15" t="inlineStr">
        <is>
          <t>Cesantías</t>
        </is>
      </c>
      <c r="B15" s="5">
        <f>B11*B12/360</f>
        <v/>
      </c>
    </row>
    <row r="16">
      <c r="A16" t="inlineStr">
        <is>
          <t>Intereses sobre cesantías (12 %)</t>
        </is>
      </c>
      <c r="B16" s="5">
        <f>B15*B12*12%/360</f>
        <v/>
      </c>
    </row>
    <row r="17">
      <c r="A17" t="inlineStr">
        <is>
          <t>Prima de servicios</t>
        </is>
      </c>
      <c r="B17" s="5">
        <f>B11*B14/360</f>
        <v/>
      </c>
    </row>
    <row r="18">
      <c r="A18" t="inlineStr">
        <is>
          <t>Vacaciones (15 días hábiles por año)</t>
        </is>
      </c>
      <c r="B18" s="5">
        <f>B4*B12/720</f>
        <v/>
      </c>
    </row>
    <row r="19">
      <c r="A19" s="8" t="inlineStr">
        <is>
          <t>Total</t>
        </is>
      </c>
      <c r="B19" s="9">
        <f>B15+B16+B17+B18</f>
        <v/>
      </c>
    </row>
    <row r="21">
      <c r="A21" s="2" t="inlineStr">
        <is>
          <t>Plantilla de Solución Contable y Fiscal · recursos.solucioncontableyfiscal.com · WhatsApp 300 507 4934. Información de referencia; no reemplaza la asesoría profesional.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2026-10-23T05:06:47Z</dcterms:created>
  <dcterms:modified xmlns:dcterms="http://purl.org/dc/terms/" xmlns:xsi="http://www.w3.org/2001/XMLSchema-instance" xsi:type="dcterms:W3CDTF">2026-10-23T05:06:47Z</dcterms:modified>
</cp:coreProperties>
</file>