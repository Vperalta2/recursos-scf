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png" ContentType="image/p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drawings/drawing3.xml" ContentType="application/vnd.openxmlformats-officedocument.drawing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Retención" sheetId="1" state="visible" r:id="rId1"/>
    <sheet xmlns:r="http://schemas.openxmlformats.org/officeDocument/2006/relationships" name="Varios empleados" sheetId="2" state="visible" r:id="rId2"/>
    <sheet xmlns:r="http://schemas.openxmlformats.org/officeDocument/2006/relationships" name="Parámetros" sheetId="3" state="visible" r:id="rId3"/>
  </sheets>
  <definedNames>
    <definedName name="_xlnm.Print_Titles" localSheetId="1">'Varios empleados'!$10:$10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&quot;$&quot;#,##0"/>
  </numFmts>
  <fonts count="24">
    <font>
      <name val="Calibri"/>
      <family val="2"/>
      <color theme="1"/>
      <sz val="11"/>
      <scheme val="minor"/>
    </font>
    <font>
      <name val="Calibri"/>
      <b val="1"/>
      <color rgb="00FFFFFF"/>
      <sz val="18"/>
    </font>
    <font>
      <name val="Calibri"/>
      <color rgb="00C9AD69"/>
      <sz val="10.5"/>
    </font>
    <font>
      <name val="Calibri"/>
      <color rgb="00D7DEEA"/>
      <sz val="9.5"/>
    </font>
    <font>
      <name val="Calibri"/>
      <b val="1"/>
      <color rgb="001B3562"/>
      <sz val="11"/>
    </font>
    <font>
      <name val="Calibri"/>
      <b val="1"/>
      <color rgb="0085662A"/>
      <sz val="10"/>
    </font>
    <font>
      <name val="Calibri"/>
      <b val="1"/>
      <color rgb="00FFFFFF"/>
      <sz val="10"/>
    </font>
    <font>
      <name val="Calibri"/>
      <b val="1"/>
      <color rgb="001B3562"/>
      <sz val="13"/>
    </font>
    <font>
      <name val="Calibri"/>
      <color rgb="0085662A"/>
      <sz val="10"/>
    </font>
    <font>
      <name val="Calibri"/>
      <color rgb="0024467F"/>
      <sz val="10.5"/>
      <u val="single"/>
    </font>
    <font>
      <name val="Calibri"/>
      <color rgb="005A6273"/>
      <sz val="9"/>
    </font>
    <font>
      <name val="Calibri"/>
      <i val="1"/>
      <color rgb="005A6273"/>
      <sz val="8.5"/>
    </font>
    <font>
      <name val="Calibri"/>
      <b val="1"/>
      <color rgb="001B3562"/>
      <sz val="9.5"/>
    </font>
    <font>
      <name val="Calibri"/>
      <i val="1"/>
      <color rgb="005A6273"/>
      <sz val="9.5"/>
    </font>
    <font>
      <name val="Calibri"/>
      <color rgb="0018202E"/>
      <sz val="11"/>
    </font>
    <font>
      <name val="Calibri"/>
      <b val="1"/>
      <color rgb="001B3562"/>
      <sz val="12"/>
    </font>
    <font>
      <name val="Calibri"/>
      <b val="1"/>
      <color rgb="00FFFFFF"/>
      <sz val="13"/>
    </font>
    <font>
      <name val="Calibri"/>
      <b val="1"/>
      <color rgb="00C9AD69"/>
      <sz val="15"/>
    </font>
    <font>
      <name val="Calibri"/>
      <i val="1"/>
      <color rgb="005A6273"/>
      <sz val="9"/>
    </font>
    <font>
      <name val="Calibri"/>
      <b val="1"/>
      <color rgb="001B3562"/>
      <sz val="10"/>
    </font>
    <font>
      <name val="Calibri"/>
      <color rgb="0018202E"/>
      <sz val="10.5"/>
    </font>
    <font>
      <name val="Calibri"/>
      <b val="1"/>
      <color rgb="001B3562"/>
      <sz val="10.5"/>
    </font>
    <font>
      <name val="Calibri"/>
      <b val="1"/>
      <color rgb="00FFFFFF"/>
      <sz val="10.5"/>
    </font>
    <font>
      <name val="Calibri"/>
      <b val="1"/>
      <color rgb="00C9AD69"/>
      <sz val="10.5"/>
    </font>
  </fonts>
  <fills count="8">
    <fill>
      <patternFill/>
    </fill>
    <fill>
      <patternFill patternType="gray125"/>
    </fill>
    <fill>
      <patternFill patternType="solid">
        <fgColor rgb="001B3562"/>
      </patternFill>
    </fill>
    <fill>
      <patternFill patternType="solid">
        <fgColor rgb="00C9AD69"/>
      </patternFill>
    </fill>
    <fill>
      <patternFill patternType="solid">
        <fgColor rgb="00F8F6F0"/>
      </patternFill>
    </fill>
    <fill>
      <patternFill patternType="solid">
        <fgColor rgb="00FFF6DD"/>
      </patternFill>
    </fill>
    <fill>
      <patternFill patternType="solid">
        <fgColor rgb="00EEF1F7"/>
      </patternFill>
    </fill>
    <fill>
      <patternFill patternType="solid">
        <fgColor rgb="00D9DFEA"/>
      </patternFill>
    </fill>
  </fills>
  <borders count="6">
    <border>
      <left/>
      <right/>
      <top/>
      <bottom/>
      <diagonal/>
    </border>
    <border>
      <bottom style="medium">
        <color rgb="00C9AD69"/>
      </bottom>
    </border>
    <border>
      <bottom style="thin">
        <color rgb="00E2DDCF"/>
      </bottom>
    </border>
    <border>
      <top style="medium">
        <color rgb="00C9AD69"/>
      </top>
    </border>
    <border>
      <left style="thin">
        <color rgb="00C9AD69"/>
      </left>
      <right style="thin">
        <color rgb="00C9AD69"/>
      </right>
      <top style="thin">
        <color rgb="00C9AD69"/>
      </top>
      <bottom style="thin">
        <color rgb="00C9AD69"/>
      </bottom>
    </border>
    <border>
      <left style="thin">
        <color rgb="00E2DDCF"/>
      </left>
      <right style="thin">
        <color rgb="00E2DDCF"/>
      </right>
      <top style="thin">
        <color rgb="00E2DDCF"/>
      </top>
      <bottom style="thin">
        <color rgb="00E2DDCF"/>
      </bottom>
    </border>
  </borders>
  <cellStyleXfs count="1">
    <xf numFmtId="0" fontId="0" fillId="0" borderId="0"/>
  </cellStyleXfs>
  <cellXfs count="54">
    <xf numFmtId="0" fontId="0" fillId="0" borderId="0" pivotButton="0" quotePrefix="0" xfId="0"/>
    <xf numFmtId="0" fontId="0" fillId="2" borderId="0" pivotButton="0" quotePrefix="0" xfId="0"/>
    <xf numFmtId="0" fontId="1" fillId="2" borderId="0" applyAlignment="1" pivotButton="0" quotePrefix="0" xfId="0">
      <alignment vertical="center" indent="1"/>
    </xf>
    <xf numFmtId="0" fontId="2" fillId="2" borderId="0" applyAlignment="1" pivotButton="0" quotePrefix="0" xfId="0">
      <alignment vertical="center" indent="1"/>
    </xf>
    <xf numFmtId="0" fontId="3" fillId="2" borderId="0" applyAlignment="1" pivotButton="0" quotePrefix="0" xfId="0">
      <alignment vertical="center" indent="1"/>
    </xf>
    <xf numFmtId="0" fontId="0" fillId="3" borderId="0" pivotButton="0" quotePrefix="0" xfId="0"/>
    <xf numFmtId="0" fontId="12" fillId="5" borderId="4" applyAlignment="1" pivotButton="0" quotePrefix="0" xfId="0">
      <alignment horizontal="left"/>
    </xf>
    <xf numFmtId="0" fontId="13" fillId="0" borderId="0" pivotButton="0" quotePrefix="0" xfId="0"/>
    <xf numFmtId="0" fontId="5" fillId="0" borderId="1" applyAlignment="1" pivotButton="0" quotePrefix="0" xfId="0">
      <alignment vertical="bottom"/>
    </xf>
    <xf numFmtId="0" fontId="0" fillId="0" borderId="1" pivotButton="0" quotePrefix="0" xfId="0"/>
    <xf numFmtId="0" fontId="14" fillId="0" borderId="0" applyAlignment="1" pivotButton="0" quotePrefix="0" xfId="0">
      <alignment vertical="center" wrapText="1"/>
    </xf>
    <xf numFmtId="164" fontId="15" fillId="5" borderId="4" applyAlignment="1" applyProtection="1" pivotButton="0" quotePrefix="0" xfId="0">
      <alignment horizontal="right" vertical="center"/>
      <protection locked="0" hidden="0"/>
    </xf>
    <xf numFmtId="0" fontId="10" fillId="0" borderId="0" applyAlignment="1" pivotButton="0" quotePrefix="0" xfId="0">
      <alignment vertical="center" wrapText="1" indent="1"/>
    </xf>
    <xf numFmtId="0" fontId="15" fillId="5" borderId="4" applyAlignment="1" applyProtection="1" pivotButton="0" quotePrefix="0" xfId="0">
      <alignment horizontal="right" vertical="center"/>
      <protection locked="0" hidden="0"/>
    </xf>
    <xf numFmtId="0" fontId="14" fillId="0" borderId="2" applyAlignment="1" pivotButton="0" quotePrefix="0" xfId="0">
      <alignment vertical="center" wrapText="1"/>
    </xf>
    <xf numFmtId="164" fontId="14" fillId="0" borderId="2" applyAlignment="1" pivotButton="0" quotePrefix="0" xfId="0">
      <alignment horizontal="right" vertical="center"/>
    </xf>
    <xf numFmtId="0" fontId="0" fillId="0" borderId="2" pivotButton="0" quotePrefix="0" xfId="0"/>
    <xf numFmtId="0" fontId="10" fillId="0" borderId="2" applyAlignment="1" pivotButton="0" quotePrefix="0" xfId="0">
      <alignment vertical="center" wrapText="1" indent="1"/>
    </xf>
    <xf numFmtId="0" fontId="4" fillId="6" borderId="2" applyAlignment="1" pivotButton="0" quotePrefix="0" xfId="0">
      <alignment vertical="center" wrapText="1"/>
    </xf>
    <xf numFmtId="164" fontId="4" fillId="6" borderId="2" applyAlignment="1" pivotButton="0" quotePrefix="0" xfId="0">
      <alignment horizontal="right" vertical="center"/>
    </xf>
    <xf numFmtId="0" fontId="0" fillId="6" borderId="2" pivotButton="0" quotePrefix="0" xfId="0"/>
    <xf numFmtId="4" fontId="14" fillId="0" borderId="2" applyAlignment="1" pivotButton="0" quotePrefix="0" xfId="0">
      <alignment horizontal="right" vertical="center"/>
    </xf>
    <xf numFmtId="9" fontId="14" fillId="0" borderId="2" applyAlignment="1" pivotButton="0" quotePrefix="0" xfId="0">
      <alignment horizontal="right" vertical="center"/>
    </xf>
    <xf numFmtId="0" fontId="16" fillId="2" borderId="0" applyAlignment="1" pivotButton="0" quotePrefix="0" xfId="0">
      <alignment vertical="center" indent="1"/>
    </xf>
    <xf numFmtId="164" fontId="17" fillId="2" borderId="0" applyAlignment="1" pivotButton="0" quotePrefix="0" xfId="0">
      <alignment horizontal="right" vertical="center"/>
    </xf>
    <xf numFmtId="0" fontId="18" fillId="0" borderId="0" applyAlignment="1" pivotButton="0" quotePrefix="0" xfId="0">
      <alignment vertical="top" wrapText="1"/>
    </xf>
    <xf numFmtId="0" fontId="0" fillId="4" borderId="3" pivotButton="0" quotePrefix="0" xfId="0"/>
    <xf numFmtId="0" fontId="0" fillId="4" borderId="0" pivotButton="0" quotePrefix="0" xfId="0"/>
    <xf numFmtId="0" fontId="7" fillId="4" borderId="0" pivotButton="0" quotePrefix="0" xfId="0"/>
    <xf numFmtId="0" fontId="8" fillId="4" borderId="0" pivotButton="0" quotePrefix="0" xfId="0"/>
    <xf numFmtId="0" fontId="9" fillId="4" borderId="0" pivotButton="0" quotePrefix="0" xfId="0"/>
    <xf numFmtId="0" fontId="10" fillId="4" borderId="0" pivotButton="0" quotePrefix="0" xfId="0"/>
    <xf numFmtId="0" fontId="11" fillId="4" borderId="0" pivotButton="0" quotePrefix="0" xfId="0"/>
    <xf numFmtId="0" fontId="6" fillId="2" borderId="0" applyAlignment="1" pivotButton="0" quotePrefix="0" xfId="0">
      <alignment horizontal="center" vertical="center" wrapText="1"/>
    </xf>
    <xf numFmtId="0" fontId="19" fillId="7" borderId="0" applyAlignment="1" pivotButton="0" quotePrefix="0" xfId="0">
      <alignment horizontal="center" vertical="center" wrapText="1"/>
    </xf>
    <xf numFmtId="0" fontId="20" fillId="5" borderId="5" applyProtection="1" pivotButton="0" quotePrefix="0" xfId="0">
      <protection locked="0" hidden="0"/>
    </xf>
    <xf numFmtId="164" fontId="20" fillId="5" borderId="5" applyProtection="1" pivotButton="0" quotePrefix="0" xfId="0">
      <protection locked="0" hidden="0"/>
    </xf>
    <xf numFmtId="0" fontId="20" fillId="5" borderId="5" applyAlignment="1" applyProtection="1" pivotButton="0" quotePrefix="0" xfId="0">
      <alignment horizontal="center"/>
      <protection locked="0" hidden="0"/>
    </xf>
    <xf numFmtId="164" fontId="20" fillId="0" borderId="2" pivotButton="0" quotePrefix="0" xfId="0"/>
    <xf numFmtId="4" fontId="20" fillId="0" borderId="2" pivotButton="0" quotePrefix="0" xfId="0"/>
    <xf numFmtId="164" fontId="21" fillId="0" borderId="2" pivotButton="0" quotePrefix="0" xfId="0"/>
    <xf numFmtId="164" fontId="20" fillId="4" borderId="2" pivotButton="0" quotePrefix="0" xfId="0"/>
    <xf numFmtId="4" fontId="20" fillId="4" borderId="2" pivotButton="0" quotePrefix="0" xfId="0"/>
    <xf numFmtId="164" fontId="21" fillId="4" borderId="2" pivotButton="0" quotePrefix="0" xfId="0"/>
    <xf numFmtId="0" fontId="22" fillId="2" borderId="0" pivotButton="0" quotePrefix="0" xfId="0"/>
    <xf numFmtId="164" fontId="22" fillId="2" borderId="0" pivotButton="0" quotePrefix="0" xfId="0"/>
    <xf numFmtId="164" fontId="23" fillId="2" borderId="0" pivotButton="0" quotePrefix="0" xfId="0"/>
    <xf numFmtId="0" fontId="4" fillId="0" borderId="0" applyAlignment="1" pivotButton="0" quotePrefix="0" xfId="0">
      <alignment vertical="center" wrapText="1"/>
    </xf>
    <xf numFmtId="164" fontId="4" fillId="0" borderId="0" applyAlignment="1" pivotButton="0" quotePrefix="0" xfId="0">
      <alignment horizontal="right" vertical="center"/>
    </xf>
    <xf numFmtId="0" fontId="6" fillId="2" borderId="0" applyAlignment="1" pivotButton="0" quotePrefix="0" xfId="0">
      <alignment horizontal="center"/>
    </xf>
    <xf numFmtId="3" fontId="0" fillId="0" borderId="2" applyAlignment="1" pivotButton="0" quotePrefix="0" xfId="0">
      <alignment horizontal="center"/>
    </xf>
    <xf numFmtId="9" fontId="0" fillId="0" borderId="2" applyAlignment="1" pivotButton="0" quotePrefix="0" xfId="0">
      <alignment horizontal="center"/>
    </xf>
    <xf numFmtId="3" fontId="0" fillId="4" borderId="2" applyAlignment="1" pivotButton="0" quotePrefix="0" xfId="0">
      <alignment horizontal="center"/>
    </xf>
    <xf numFmtId="9" fontId="0" fillId="4" borderId="2" applyAlignment="1" pivotButton="0" quotePrefix="0" xfId="0">
      <alignment horizont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drawings/_rels/drawing1.xml.rels><Relationships xmlns="http://schemas.openxmlformats.org/package/2006/relationships"><Relationship Type="http://schemas.openxmlformats.org/officeDocument/2006/relationships/image" Target="/xl/media/image1.png" Id="rId1"/></Relationships>
</file>

<file path=xl/drawings/_rels/drawing2.xml.rels><Relationships xmlns="http://schemas.openxmlformats.org/package/2006/relationships"><Relationship Type="http://schemas.openxmlformats.org/officeDocument/2006/relationships/image" Target="/xl/media/image2.png" Id="rId1"/></Relationships>
</file>

<file path=xl/drawings/_rels/drawing3.xml.rels><Relationships xmlns="http://schemas.openxmlformats.org/package/2006/relationships"><Relationship Type="http://schemas.openxmlformats.org/officeDocument/2006/relationships/image" Target="/xl/media/image3.png" Id="rId1"/></Relationships>
</file>

<file path=xl/drawings/drawing1.xml><?xml version="1.0" encoding="utf-8"?>
<wsDr xmlns="http://schemas.openxmlformats.org/drawingml/2006/spreadsheetDrawing">
  <oneCellAnchor>
    <from>
      <col>3</col>
      <colOff>1362075</colOff>
      <row>1</row>
      <rowOff>19050</rowOff>
    </from>
    <ext cx="609600" cy="609600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drawings/drawing2.xml><?xml version="1.0" encoding="utf-8"?>
<wsDr xmlns="http://schemas.openxmlformats.org/drawingml/2006/spreadsheetDrawing">
  <oneCellAnchor>
    <from>
      <col>18</col>
      <colOff>361950</colOff>
      <row>1</row>
      <rowOff>19050</rowOff>
    </from>
    <ext cx="609600" cy="609600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drawings/drawing3.xml><?xml version="1.0" encoding="utf-8"?>
<wsDr xmlns="http://schemas.openxmlformats.org/drawingml/2006/spreadsheetDrawing">
  <oneCellAnchor>
    <from>
      <col>5</col>
      <colOff>428625</colOff>
      <row>1</row>
      <rowOff>19050</rowOff>
    </from>
    <ext cx="609600" cy="609600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a.me/573005074934" TargetMode="External" Id="rId1"/><Relationship Type="http://schemas.openxmlformats.org/officeDocument/2006/relationships/hyperlink" Target="https://calendar.app.google/NaQe5qqNjgy27SrF7" TargetMode="External" Id="rId2"/><Relationship Type="http://schemas.openxmlformats.org/officeDocument/2006/relationships/hyperlink" Target="https://recursos.solucioncontableyfiscal.com" TargetMode="External" Id="rId3"/><Relationship Type="http://schemas.openxmlformats.org/officeDocument/2006/relationships/hyperlink" Target="mailto:solucontfisc@gmail.com" TargetMode="External" Id="rId4"/><Relationship Type="http://schemas.openxmlformats.org/officeDocument/2006/relationships/drawing" Target="/xl/drawings/drawing1.xml" Id="rId5"/></Relationships>
</file>

<file path=xl/worksheets/_rels/sheet2.xml.rels><Relationships xmlns="http://schemas.openxmlformats.org/package/2006/relationships"><Relationship Type="http://schemas.openxmlformats.org/officeDocument/2006/relationships/hyperlink" Target="https://wa.me/573005074934" TargetMode="External" Id="rId1"/><Relationship Type="http://schemas.openxmlformats.org/officeDocument/2006/relationships/hyperlink" Target="https://calendar.app.google/NaQe5qqNjgy27SrF7" TargetMode="External" Id="rId2"/><Relationship Type="http://schemas.openxmlformats.org/officeDocument/2006/relationships/hyperlink" Target="https://recursos.solucioncontableyfiscal.com" TargetMode="External" Id="rId3"/><Relationship Type="http://schemas.openxmlformats.org/officeDocument/2006/relationships/hyperlink" Target="mailto:solucontfisc@gmail.com" TargetMode="External" Id="rId4"/><Relationship Type="http://schemas.openxmlformats.org/officeDocument/2006/relationships/drawing" Target="/xl/drawings/drawing2.xml" Id="rId5"/></Relationships>
</file>

<file path=xl/worksheets/_rels/sheet3.xml.rels><Relationships xmlns="http://schemas.openxmlformats.org/package/2006/relationships"><Relationship Type="http://schemas.openxmlformats.org/officeDocument/2006/relationships/hyperlink" Target="https://wa.me/573005074934" TargetMode="External" Id="rId1"/><Relationship Type="http://schemas.openxmlformats.org/officeDocument/2006/relationships/hyperlink" Target="https://calendar.app.google/NaQe5qqNjgy27SrF7" TargetMode="External" Id="rId2"/><Relationship Type="http://schemas.openxmlformats.org/officeDocument/2006/relationships/hyperlink" Target="https://recursos.solucioncontableyfiscal.com" TargetMode="External" Id="rId3"/><Relationship Type="http://schemas.openxmlformats.org/officeDocument/2006/relationships/hyperlink" Target="mailto:solucontfisc@gmail.com" TargetMode="External" Id="rId4"/><Relationship Type="http://schemas.openxmlformats.org/officeDocument/2006/relationships/drawing" Target="/xl/drawings/drawing3.xml" Id="rId5"/></Relationships>
</file>

<file path=xl/worksheets/sheet1.xml><?xml version="1.0" encoding="utf-8"?>
<worksheet xmlns="http://schemas.openxmlformats.org/spreadsheetml/2006/main">
  <sheetPr>
    <tabColor rgb="001B3562"/>
    <outlinePr summaryBelow="1" summaryRight="1"/>
    <pageSetUpPr fitToPage="1"/>
  </sheetPr>
  <dimension ref="A1:D51"/>
  <sheetViews>
    <sheetView showGridLines="0" workbookViewId="0">
      <selection activeCell="A1" sqref="A1"/>
    </sheetView>
  </sheetViews>
  <sheetFormatPr baseColWidth="8" defaultRowHeight="15"/>
  <cols>
    <col width="2.5" customWidth="1" min="1" max="1"/>
    <col width="58" customWidth="1" min="2" max="2"/>
    <col width="20" customWidth="1" min="3" max="3"/>
    <col width="30" customWidth="1" min="4" max="4"/>
  </cols>
  <sheetData>
    <row r="1" ht="10" customHeight="1">
      <c r="A1" s="1" t="n"/>
      <c r="B1" s="1" t="n"/>
      <c r="C1" s="1" t="n"/>
      <c r="D1" s="1" t="n"/>
    </row>
    <row r="2" ht="30" customHeight="1">
      <c r="A2" s="1" t="n"/>
      <c r="B2" s="2" t="inlineStr">
        <is>
          <t>Retención en la fuente por salarios 2026</t>
        </is>
      </c>
    </row>
    <row r="3" ht="18" customHeight="1">
      <c r="A3" s="1" t="n"/>
      <c r="B3" s="3" t="inlineStr">
        <is>
          <t>Procedimiento 1 · Arts. 383, 387 y 388 del Estatuto Tributario</t>
        </is>
      </c>
    </row>
    <row r="4" ht="18" customHeight="1">
      <c r="A4" s="1" t="n"/>
      <c r="B4" s="4" t="inlineStr">
        <is>
          <t>WhatsApp 300 507 4934  ·  solucontfisc@gmail.com  ·  recursos.solucioncontableyfiscal.com</t>
        </is>
      </c>
    </row>
    <row r="5" ht="10" customHeight="1">
      <c r="A5" s="1" t="n"/>
      <c r="B5" s="1" t="n"/>
      <c r="C5" s="1" t="n"/>
      <c r="D5" s="1" t="n"/>
    </row>
    <row r="6" ht="4" customHeight="1">
      <c r="A6" s="5" t="n"/>
      <c r="B6" s="5" t="n"/>
      <c r="C6" s="5" t="n"/>
      <c r="D6" s="5" t="n"/>
    </row>
    <row r="8">
      <c r="B8" s="6" t="inlineStr">
        <is>
          <t xml:space="preserve">  Tus datos  </t>
        </is>
      </c>
      <c r="C8" s="7" t="inlineStr">
        <is>
          <t>Escribe solo en las celdas amarillas; el resto se calcula solo.</t>
        </is>
      </c>
    </row>
    <row r="10" ht="24" customHeight="1">
      <c r="B10" s="8" t="inlineStr">
        <is>
          <t>1.  DATOS DEL EMPLEADO</t>
        </is>
      </c>
      <c r="C10" s="9" t="n"/>
      <c r="D10" s="9" t="n"/>
    </row>
    <row r="11" ht="21" customHeight="1">
      <c r="B11" s="10" t="inlineStr">
        <is>
          <t>Salario del mes</t>
        </is>
      </c>
      <c r="C11" s="11" t="n">
        <v>15000000</v>
      </c>
    </row>
    <row r="12" ht="21" customHeight="1">
      <c r="B12" s="10" t="inlineStr">
        <is>
          <t>Otros pagos laborales del mes</t>
        </is>
      </c>
      <c r="C12" s="11" t="n">
        <v>0</v>
      </c>
      <c r="D12" s="12" t="inlineStr">
        <is>
          <t>Horas extra, comisiones, bonificaciones</t>
        </is>
      </c>
    </row>
    <row r="13" ht="21" customHeight="1">
      <c r="B13" s="10" t="inlineStr">
        <is>
          <t>¿Tiene dependientes?</t>
        </is>
      </c>
      <c r="C13" s="13" t="inlineStr">
        <is>
          <t>No</t>
        </is>
      </c>
      <c r="D13" s="12" t="inlineStr">
        <is>
          <t>Elige Sí o No · art. 387 ET</t>
        </is>
      </c>
    </row>
    <row r="14" ht="21" customHeight="1">
      <c r="B14" s="10" t="inlineStr">
        <is>
          <t>Intereses de vivienda (mensual)</t>
        </is>
      </c>
      <c r="C14" s="11" t="n">
        <v>0</v>
      </c>
      <c r="D14" s="12" t="inlineStr">
        <is>
          <t>Certificado del banco · art. 119 ET</t>
        </is>
      </c>
    </row>
    <row r="15" ht="21" customHeight="1">
      <c r="B15" s="10" t="inlineStr">
        <is>
          <t>Medicina prepagada (mensual)</t>
        </is>
      </c>
      <c r="C15" s="11" t="n">
        <v>0</v>
      </c>
      <c r="D15" s="12" t="inlineStr">
        <is>
          <t>Art. 387 ET</t>
        </is>
      </c>
    </row>
    <row r="16" ht="21" customHeight="1">
      <c r="B16" s="10" t="inlineStr">
        <is>
          <t>Aportes voluntarios a pensión o AFC del mes</t>
        </is>
      </c>
      <c r="C16" s="11" t="n">
        <v>0</v>
      </c>
      <c r="D16" s="12" t="inlineStr">
        <is>
          <t>Arts. 126-1 y 126-4 ET</t>
        </is>
      </c>
    </row>
    <row r="18" ht="24" customHeight="1">
      <c r="B18" s="8" t="inlineStr">
        <is>
          <t>2.  DEPURACIÓN DE LA BASE</t>
        </is>
      </c>
      <c r="C18" s="9" t="n"/>
      <c r="D18" s="9" t="n"/>
    </row>
    <row r="19">
      <c r="B19" s="14" t="inlineStr">
        <is>
          <t>Ingresos laborales</t>
        </is>
      </c>
      <c r="C19" s="15">
        <f>N(C11)+N(C12)</f>
        <v/>
      </c>
      <c r="D19" s="16" t="n"/>
    </row>
    <row r="20">
      <c r="B20" s="14" t="inlineStr">
        <is>
          <t>Ingreso base de cotización (tope 25 SMMLV)</t>
        </is>
      </c>
      <c r="C20" s="15">
        <f>MIN(C19,25*Parámetros!$C$9)</f>
        <v/>
      </c>
      <c r="D20" s="16" t="n"/>
    </row>
    <row r="21">
      <c r="B21" s="14" t="inlineStr">
        <is>
          <t>(−) Salud 4 %</t>
        </is>
      </c>
      <c r="C21" s="15">
        <f>C20*4%</f>
        <v/>
      </c>
      <c r="D21" s="17" t="inlineStr">
        <is>
          <t>Ingreso no constitutivo · art. 56 ET</t>
        </is>
      </c>
    </row>
    <row r="22">
      <c r="B22" s="14" t="inlineStr">
        <is>
          <t>(−) Pensión 4 %</t>
        </is>
      </c>
      <c r="C22" s="15">
        <f>C20*4%</f>
        <v/>
      </c>
      <c r="D22" s="17" t="inlineStr">
        <is>
          <t>Art. 55 ET</t>
        </is>
      </c>
    </row>
    <row r="23">
      <c r="B23" s="14" t="inlineStr">
        <is>
          <t>(−) Fondo de solidaridad pensional</t>
        </is>
      </c>
      <c r="C23" s="15">
        <f>C20*IF(C20&lt;4*Parámetros!$C$9,0,IF(C20&lt;16*Parámetros!$C$9,1%,IF(C20&lt;17*Parámetros!$C$9,1.2%,IF(C20&lt;18*Parámetros!$C$9,1.4%,IF(C20&lt;19*Parámetros!$C$9,1.6%,IF(C20&lt;20*Parámetros!$C$9,1.8%,2%))))))</f>
        <v/>
      </c>
      <c r="D23" s="17" t="inlineStr">
        <is>
          <t>Desde 4 SMMLV</t>
        </is>
      </c>
    </row>
    <row r="24">
      <c r="B24" s="18" t="inlineStr">
        <is>
          <t>Ingreso neto</t>
        </is>
      </c>
      <c r="C24" s="19">
        <f>C19-C21-C22-C23</f>
        <v/>
      </c>
      <c r="D24" s="20" t="n"/>
    </row>
    <row r="25">
      <c r="B25" s="14" t="inlineStr">
        <is>
          <t>(−) Dependientes (10 %, máx. 32 UVT)</t>
        </is>
      </c>
      <c r="C25" s="15">
        <f>IF(C13="Sí",MIN(C19*10%,32*Parámetros!$C$8),0)</f>
        <v/>
      </c>
      <c r="D25" s="16" t="n"/>
    </row>
    <row r="26">
      <c r="B26" s="14" t="inlineStr">
        <is>
          <t>(−) Intereses de vivienda (máx. 100 UVT)</t>
        </is>
      </c>
      <c r="C26" s="15">
        <f>MIN(N(C14),100*Parámetros!$C$8)</f>
        <v/>
      </c>
      <c r="D26" s="16" t="n"/>
    </row>
    <row r="27">
      <c r="B27" s="14" t="inlineStr">
        <is>
          <t>(−) Medicina prepagada (máx. 16 UVT)</t>
        </is>
      </c>
      <c r="C27" s="15">
        <f>MIN(N(C15),16*Parámetros!$C$8)</f>
        <v/>
      </c>
      <c r="D27" s="16" t="n"/>
    </row>
    <row r="28">
      <c r="B28" s="14" t="inlineStr">
        <is>
          <t>(−) Aportes voluntarios / AFC (máx. 30 % y 3.800 UVT al año)</t>
        </is>
      </c>
      <c r="C28" s="15">
        <f>MIN(N(C16),C19*30%,3800*Parámetros!$C$8/12)</f>
        <v/>
      </c>
      <c r="D28" s="16" t="n"/>
    </row>
    <row r="29">
      <c r="B29" s="14" t="inlineStr">
        <is>
          <t>Subtotal</t>
        </is>
      </c>
      <c r="C29" s="15">
        <f>MAX(C24-C25-C26-C27-C28,0)</f>
        <v/>
      </c>
      <c r="D29" s="16" t="n"/>
    </row>
    <row r="30">
      <c r="B30" s="14" t="inlineStr">
        <is>
          <t>(−) Renta exenta 25 % (máx. 790 UVT al año)</t>
        </is>
      </c>
      <c r="C30" s="15">
        <f>MIN(C29*25%,790*Parámetros!$C$8/12)</f>
        <v/>
      </c>
      <c r="D30" s="17" t="inlineStr">
        <is>
          <t>Art. 206 num. 10 ET</t>
        </is>
      </c>
    </row>
    <row r="31">
      <c r="B31" s="14" t="inlineStr">
        <is>
          <t>Total deducciones y rentas exentas</t>
        </is>
      </c>
      <c r="C31" s="15">
        <f>C25+C26+C27+C28+C30</f>
        <v/>
      </c>
      <c r="D31" s="16" t="n"/>
    </row>
    <row r="32">
      <c r="B32" s="14" t="inlineStr">
        <is>
          <t>Límite 40 % y 1.340 UVT al año</t>
        </is>
      </c>
      <c r="C32" s="15">
        <f>MIN(C24*40%,1340*Parámetros!$C$8/12)</f>
        <v/>
      </c>
      <c r="D32" s="17" t="inlineStr">
        <is>
          <t>Art. 336 ET</t>
        </is>
      </c>
    </row>
    <row r="33">
      <c r="B33" s="18" t="inlineStr">
        <is>
          <t>Base gravable</t>
        </is>
      </c>
      <c r="C33" s="19">
        <f>MAX(C24-MIN(C31,C32),0)</f>
        <v/>
      </c>
      <c r="D33" s="20" t="n"/>
    </row>
    <row r="34">
      <c r="B34" s="14" t="inlineStr">
        <is>
          <t>Base gravable en UVT</t>
        </is>
      </c>
      <c r="C34" s="21">
        <f>C33/Parámetros!$C$8</f>
        <v/>
      </c>
      <c r="D34" s="16" t="n"/>
    </row>
    <row r="35">
      <c r="B35" s="14" t="inlineStr">
        <is>
          <t>Tarifa marginal</t>
        </is>
      </c>
      <c r="C35" s="22">
        <f>VLOOKUP(C34,Parámetros!$B$13:$F$19,3,TRUE)</f>
        <v/>
      </c>
      <c r="D35" s="17" t="inlineStr">
        <is>
          <t>Tabla art. 383 ET</t>
        </is>
      </c>
    </row>
    <row r="36">
      <c r="B36" s="14" t="inlineStr">
        <is>
          <t>Retención en UVT</t>
        </is>
      </c>
      <c r="C36" s="21">
        <f>IF(C34&lt;=95,0,(C34-VLOOKUP(C34,Parámetros!$B$13:$F$19,4,TRUE))*VLOOKUP(C34,Parámetros!$B$13:$F$19,3,TRUE)+VLOOKUP(C34,Parámetros!$B$13:$F$19,5,TRUE))</f>
        <v/>
      </c>
      <c r="D36" s="16" t="n"/>
    </row>
    <row r="38" ht="34" customHeight="1">
      <c r="B38" s="23" t="inlineStr">
        <is>
          <t>Retención del mes</t>
        </is>
      </c>
      <c r="C38" s="24">
        <f>C36*Parámetros!$C$8</f>
        <v/>
      </c>
      <c r="D38" s="1" t="n"/>
    </row>
    <row r="40" ht="28" customHeight="1">
      <c r="B40" s="25" t="inlineStr">
        <is>
          <t>Topes anuales aplicados en doceavas partes. Para varios empleados usa la hoja «Varios empleados».</t>
        </is>
      </c>
    </row>
    <row r="42" ht="8" customHeight="1">
      <c r="A42" s="26" t="n"/>
      <c r="B42" s="26" t="n"/>
      <c r="C42" s="26" t="n"/>
      <c r="D42" s="26" t="n"/>
    </row>
    <row r="43">
      <c r="A43" s="27" t="n"/>
      <c r="B43" s="28" t="inlineStr">
        <is>
          <t>¿Prefieres que lo hagamos por ti?</t>
        </is>
      </c>
      <c r="C43" s="27" t="n"/>
      <c r="D43" s="27" t="n"/>
    </row>
    <row r="44">
      <c r="A44" s="27" t="n"/>
      <c r="B44" s="29" t="inlineStr">
        <is>
          <t>Contabilidad · Impuestos · Revisoría fiscal y auditoría · Nómina electrónica</t>
        </is>
      </c>
      <c r="C44" s="27" t="n"/>
      <c r="D44" s="27" t="n"/>
    </row>
    <row r="45">
      <c r="A45" s="27" t="n"/>
      <c r="B45" s="30" t="inlineStr">
        <is>
          <t>Escríbenos por WhatsApp: 300 507 4934</t>
        </is>
      </c>
      <c r="C45" s="27" t="n"/>
      <c r="D45" s="27" t="n"/>
    </row>
    <row r="46">
      <c r="A46" s="27" t="n"/>
      <c r="B46" s="30" t="inlineStr">
        <is>
          <t>Agenda una cita</t>
        </is>
      </c>
      <c r="C46" s="27" t="n"/>
      <c r="D46" s="27" t="n"/>
    </row>
    <row r="47">
      <c r="A47" s="27" t="n"/>
      <c r="B47" s="30" t="inlineStr">
        <is>
          <t>Calendario y calculadoras gratis: recursos.solucioncontableyfiscal.com</t>
        </is>
      </c>
      <c r="C47" s="27" t="n"/>
      <c r="D47" s="27" t="n"/>
    </row>
    <row r="48">
      <c r="A48" s="27" t="n"/>
      <c r="B48" s="30" t="inlineStr">
        <is>
          <t>Correo: solucontfisc@gmail.com</t>
        </is>
      </c>
      <c r="C48" s="27" t="n"/>
      <c r="D48" s="27" t="n"/>
    </row>
    <row r="49">
      <c r="A49" s="27" t="n"/>
      <c r="B49" s="31" t="inlineStr">
        <is>
          <t>SOLUCION CONTABLE Y FISCAL S.A.S. · Vía 40 #73-290, Edificio Mix, Oficina 612, Barranquilla · Atención virtual en toda Colombia</t>
        </is>
      </c>
      <c r="C49" s="27" t="n"/>
      <c r="D49" s="27" t="n"/>
    </row>
    <row r="50">
      <c r="A50" s="27" t="n"/>
      <c r="B50" s="32" t="inlineStr">
        <is>
          <t>Información de referencia; no reemplaza la asesoría profesional. Verifica tu caso particular con un contador.</t>
        </is>
      </c>
      <c r="C50" s="27" t="n"/>
      <c r="D50" s="27" t="n"/>
    </row>
    <row r="51" ht="8" customHeight="1">
      <c r="A51" s="27" t="n"/>
      <c r="B51" s="27" t="n"/>
      <c r="C51" s="27" t="n"/>
      <c r="D51" s="27" t="n"/>
    </row>
  </sheetData>
  <sheetProtection selectLockedCells="0" selectUnlockedCells="0" sheet="1" objects="0" insertRows="1" insertHyperlinks="1" autoFilter="0" scenarios="0" formatColumns="0" deleteColumns="1" insertColumns="1" pivotTables="1" deleteRows="1" formatCells="1" formatRows="0" sort="0"/>
  <mergeCells count="14">
    <mergeCell ref="B10:D10"/>
    <mergeCell ref="B3:D3"/>
    <mergeCell ref="B45:D45"/>
    <mergeCell ref="B46:D46"/>
    <mergeCell ref="B48:D48"/>
    <mergeCell ref="B49:D49"/>
    <mergeCell ref="B4:D4"/>
    <mergeCell ref="B50:D50"/>
    <mergeCell ref="B40:D40"/>
    <mergeCell ref="B18:D18"/>
    <mergeCell ref="B44:D44"/>
    <mergeCell ref="B43:D43"/>
    <mergeCell ref="B47:D47"/>
    <mergeCell ref="B2:D2"/>
  </mergeCells>
  <dataValidations count="2">
    <dataValidation sqref="C13" showDropDown="0" showInputMessage="0" showErrorMessage="1" allowBlank="0" error="Elige Sí o No." type="list">
      <formula1>"Sí,No"</formula1>
    </dataValidation>
    <dataValidation sqref="C11 C12 C14 C15 C16" showDropDown="0" showInputMessage="0" showErrorMessage="1" allowBlank="0" error="Escribe un valor en pesos, sin signos." type="decimal" operator="greaterThanOrEqual">
      <formula1>0</formula1>
    </dataValidation>
  </dataValidations>
  <hyperlinks>
    <hyperlink xmlns:r="http://schemas.openxmlformats.org/officeDocument/2006/relationships" ref="B45" r:id="rId1"/>
    <hyperlink xmlns:r="http://schemas.openxmlformats.org/officeDocument/2006/relationships" ref="B46" r:id="rId2"/>
    <hyperlink xmlns:r="http://schemas.openxmlformats.org/officeDocument/2006/relationships" ref="B47" r:id="rId3"/>
    <hyperlink xmlns:r="http://schemas.openxmlformats.org/officeDocument/2006/relationships" ref="B48" r:id="rId4"/>
  </hyperlinks>
  <printOptions horizontalCentered="1"/>
  <pageMargins left="0.4" right="0.4" top="1" bottom="1" header="0.5" footer="0.5"/>
  <pageSetup orientation="portrait" paperSize="1" fitToHeight="1" fitToWidth="1"/>
  <headerFooter>
    <oddHeader/>
    <oddFooter>&amp;L&amp;8 Solución Contable y Fiscal · WhatsApp 300 507 4934&amp;R&amp;8 Página &amp;P de &amp;N</oddFooter>
    <evenHeader/>
    <evenFooter/>
    <firstHeader/>
    <firstFooter/>
  </headerFooter>
  <drawing xmlns:r="http://schemas.openxmlformats.org/officeDocument/2006/relationships" r:id="rId5"/>
</worksheet>
</file>

<file path=xl/worksheets/sheet2.xml><?xml version="1.0" encoding="utf-8"?>
<worksheet xmlns="http://schemas.openxmlformats.org/spreadsheetml/2006/main">
  <sheetPr>
    <tabColor rgb="001B3562"/>
    <outlinePr summaryBelow="1" summaryRight="1"/>
    <pageSetUpPr fitToPage="1"/>
  </sheetPr>
  <dimension ref="A1:S54"/>
  <sheetViews>
    <sheetView showGridLines="0" workbookViewId="0">
      <pane xSplit="2" ySplit="10" topLeftCell="C11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.5" customWidth="1" min="1" max="1"/>
    <col width="26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  <col width="15" customWidth="1" min="15" max="15"/>
    <col width="15" customWidth="1" min="16" max="16"/>
    <col width="15" customWidth="1" min="17" max="17"/>
    <col width="15" customWidth="1" min="18" max="18"/>
    <col width="15" customWidth="1" min="19" max="19"/>
  </cols>
  <sheetData>
    <row r="1" ht="10" customHeight="1">
      <c r="A1" s="1" t="n"/>
      <c r="B1" s="1" t="n"/>
      <c r="C1" s="1" t="n"/>
      <c r="D1" s="1" t="n"/>
      <c r="E1" s="1" t="n"/>
      <c r="F1" s="1" t="n"/>
      <c r="G1" s="1" t="n"/>
      <c r="H1" s="1" t="n"/>
      <c r="I1" s="1" t="n"/>
      <c r="J1" s="1" t="n"/>
      <c r="K1" s="1" t="n"/>
      <c r="L1" s="1" t="n"/>
      <c r="M1" s="1" t="n"/>
      <c r="N1" s="1" t="n"/>
      <c r="O1" s="1" t="n"/>
      <c r="P1" s="1" t="n"/>
      <c r="Q1" s="1" t="n"/>
      <c r="R1" s="1" t="n"/>
      <c r="S1" s="1" t="n"/>
    </row>
    <row r="2" ht="30" customHeight="1">
      <c r="A2" s="1" t="n"/>
      <c r="B2" s="2" t="inlineStr">
        <is>
          <t>Retención por salarios 2026 · varios empleados</t>
        </is>
      </c>
    </row>
    <row r="3" ht="18" customHeight="1">
      <c r="A3" s="1" t="n"/>
      <c r="B3" s="3" t="inlineStr">
        <is>
          <t>Un empleado por fila: llena las columnas amarillas (B a H)</t>
        </is>
      </c>
    </row>
    <row r="4" ht="18" customHeight="1">
      <c r="A4" s="1" t="n"/>
      <c r="B4" s="4" t="inlineStr">
        <is>
          <t>WhatsApp 300 507 4934  ·  solucontfisc@gmail.com  ·  recursos.solucioncontableyfiscal.com</t>
        </is>
      </c>
    </row>
    <row r="5" ht="10" customHeight="1">
      <c r="A5" s="1" t="n"/>
      <c r="B5" s="1" t="n"/>
      <c r="C5" s="1" t="n"/>
      <c r="D5" s="1" t="n"/>
      <c r="E5" s="1" t="n"/>
      <c r="F5" s="1" t="n"/>
      <c r="G5" s="1" t="n"/>
      <c r="H5" s="1" t="n"/>
      <c r="I5" s="1" t="n"/>
      <c r="J5" s="1" t="n"/>
      <c r="K5" s="1" t="n"/>
      <c r="L5" s="1" t="n"/>
      <c r="M5" s="1" t="n"/>
      <c r="N5" s="1" t="n"/>
      <c r="O5" s="1" t="n"/>
      <c r="P5" s="1" t="n"/>
      <c r="Q5" s="1" t="n"/>
      <c r="R5" s="1" t="n"/>
      <c r="S5" s="1" t="n"/>
    </row>
    <row r="6" ht="4" customHeight="1">
      <c r="A6" s="5" t="n"/>
      <c r="B6" s="5" t="n"/>
      <c r="C6" s="5" t="n"/>
      <c r="D6" s="5" t="n"/>
      <c r="E6" s="5" t="n"/>
      <c r="F6" s="5" t="n"/>
      <c r="G6" s="5" t="n"/>
      <c r="H6" s="5" t="n"/>
      <c r="I6" s="5" t="n"/>
      <c r="J6" s="5" t="n"/>
      <c r="K6" s="5" t="n"/>
      <c r="L6" s="5" t="n"/>
      <c r="M6" s="5" t="n"/>
      <c r="N6" s="5" t="n"/>
      <c r="O6" s="5" t="n"/>
      <c r="P6" s="5" t="n"/>
      <c r="Q6" s="5" t="n"/>
      <c r="R6" s="5" t="n"/>
      <c r="S6" s="5" t="n"/>
    </row>
    <row r="8">
      <c r="B8" s="6" t="inlineStr">
        <is>
          <t xml:space="preserve">  Tus datos  </t>
        </is>
      </c>
      <c r="C8" s="7" t="inlineStr">
        <is>
          <t>Escribe solo en las celdas amarillas; el resto se calcula solo.</t>
        </is>
      </c>
    </row>
    <row r="10" ht="34" customHeight="1">
      <c r="B10" s="33" t="inlineStr">
        <is>
          <t>Empleado</t>
        </is>
      </c>
      <c r="C10" s="33" t="inlineStr">
        <is>
          <t>Salario del mes</t>
        </is>
      </c>
      <c r="D10" s="33" t="inlineStr">
        <is>
          <t>Otros pagos</t>
        </is>
      </c>
      <c r="E10" s="33" t="inlineStr">
        <is>
          <t>Dependientes</t>
        </is>
      </c>
      <c r="F10" s="33" t="inlineStr">
        <is>
          <t>Intereses vivienda</t>
        </is>
      </c>
      <c r="G10" s="33" t="inlineStr">
        <is>
          <t>Medicina prepagada</t>
        </is>
      </c>
      <c r="H10" s="33" t="inlineStr">
        <is>
          <t>AFC / pensión vol.</t>
        </is>
      </c>
      <c r="I10" s="34" t="inlineStr">
        <is>
          <t>Ingresos laborales</t>
        </is>
      </c>
      <c r="J10" s="34" t="inlineStr">
        <is>
          <t>IBC</t>
        </is>
      </c>
      <c r="K10" s="34" t="inlineStr">
        <is>
          <t>Salud y pensión (8 %)</t>
        </is>
      </c>
      <c r="L10" s="34" t="inlineStr">
        <is>
          <t>Solidaridad pensional</t>
        </is>
      </c>
      <c r="M10" s="34" t="inlineStr">
        <is>
          <t>Ingreso neto</t>
        </is>
      </c>
      <c r="N10" s="34" t="inlineStr">
        <is>
          <t>Deducciones</t>
        </is>
      </c>
      <c r="O10" s="34" t="inlineStr">
        <is>
          <t>Renta exenta 25 %</t>
        </is>
      </c>
      <c r="P10" s="34" t="inlineStr">
        <is>
          <t>Límite 40 %</t>
        </is>
      </c>
      <c r="Q10" s="34" t="inlineStr">
        <is>
          <t>Base gravable</t>
        </is>
      </c>
      <c r="R10" s="34" t="inlineStr">
        <is>
          <t>Base en UVT</t>
        </is>
      </c>
      <c r="S10" s="34" t="inlineStr">
        <is>
          <t>Retención del mes</t>
        </is>
      </c>
    </row>
    <row r="11">
      <c r="B11" s="35" t="inlineStr">
        <is>
          <t>Empleado 1</t>
        </is>
      </c>
      <c r="C11" s="36" t="n">
        <v>3500000</v>
      </c>
      <c r="D11" s="36" t="n"/>
      <c r="E11" s="37" t="inlineStr">
        <is>
          <t>No</t>
        </is>
      </c>
      <c r="F11" s="36" t="n"/>
      <c r="G11" s="36" t="n"/>
      <c r="H11" s="36" t="n"/>
      <c r="I11" s="38">
        <f>IF(N(C11)=0,"",N(C11)+N(D11))</f>
        <v/>
      </c>
      <c r="J11" s="38">
        <f>IF(N(C11)=0,"",MIN(I11,25*Parámetros!$C$9))</f>
        <v/>
      </c>
      <c r="K11" s="38">
        <f>IF(N(C11)=0,"",J11*8%)</f>
        <v/>
      </c>
      <c r="L11" s="38">
        <f>IF(N(C11)=0,"",J11*IF(J11&lt;4*Parámetros!$C$9,0,IF(J11&lt;16*Parámetros!$C$9,1%,IF(J11&lt;17*Parámetros!$C$9,1.2%,IF(J11&lt;18*Parámetros!$C$9,1.4%,IF(J11&lt;19*Parámetros!$C$9,1.6%,IF(J11&lt;20*Parámetros!$C$9,1.8%,2%)))))))</f>
        <v/>
      </c>
      <c r="M11" s="38">
        <f>IF(N(C11)=0,"",I11-K11-L11)</f>
        <v/>
      </c>
      <c r="N11" s="38">
        <f>IF(N(C11)=0,"",IF(E11="Sí",MIN(I11*10%,32*Parámetros!$C$8),0)+MIN(N(F11),100*Parámetros!$C$8)+MIN(N(G11),16*Parámetros!$C$8)+MIN(N(H11),I11*30%,3800*Parámetros!$C$8/12))</f>
        <v/>
      </c>
      <c r="O11" s="38">
        <f>IF(N(C11)=0,"",MIN(MAX(M11-N11,0)*25%,790*Parámetros!$C$8/12))</f>
        <v/>
      </c>
      <c r="P11" s="38">
        <f>IF(N(C11)=0,"",MIN(M11*40%,1340*Parámetros!$C$8/12))</f>
        <v/>
      </c>
      <c r="Q11" s="38">
        <f>IF(N(C11)=0,"",MAX(M11-MIN(N11+O11,P11),0))</f>
        <v/>
      </c>
      <c r="R11" s="39">
        <f>IF(N(C11)=0,"",Q11/Parámetros!$C$8)</f>
        <v/>
      </c>
      <c r="S11" s="40">
        <f>IF(N(C11)=0,"",IF(R11&lt;=95,0,(R11-VLOOKUP(R11,Parámetros!$B$13:$F$19,4,TRUE))*VLOOKUP(R11,Parámetros!$B$13:$F$19,3,TRUE)+VLOOKUP(R11,Parámetros!$B$13:$F$19,5,TRUE))*Parámetros!$C$8)</f>
        <v/>
      </c>
    </row>
    <row r="12">
      <c r="B12" s="35" t="inlineStr">
        <is>
          <t>Empleado 2</t>
        </is>
      </c>
      <c r="C12" s="36" t="n">
        <v>12000000</v>
      </c>
      <c r="D12" s="36" t="n"/>
      <c r="E12" s="37" t="inlineStr">
        <is>
          <t>No</t>
        </is>
      </c>
      <c r="F12" s="36" t="n"/>
      <c r="G12" s="36" t="n"/>
      <c r="H12" s="36" t="n"/>
      <c r="I12" s="41">
        <f>IF(N(C12)=0,"",N(C12)+N(D12))</f>
        <v/>
      </c>
      <c r="J12" s="41">
        <f>IF(N(C12)=0,"",MIN(I12,25*Parámetros!$C$9))</f>
        <v/>
      </c>
      <c r="K12" s="41">
        <f>IF(N(C12)=0,"",J12*8%)</f>
        <v/>
      </c>
      <c r="L12" s="41">
        <f>IF(N(C12)=0,"",J12*IF(J12&lt;4*Parámetros!$C$9,0,IF(J12&lt;16*Parámetros!$C$9,1%,IF(J12&lt;17*Parámetros!$C$9,1.2%,IF(J12&lt;18*Parámetros!$C$9,1.4%,IF(J12&lt;19*Parámetros!$C$9,1.6%,IF(J12&lt;20*Parámetros!$C$9,1.8%,2%)))))))</f>
        <v/>
      </c>
      <c r="M12" s="41">
        <f>IF(N(C12)=0,"",I12-K12-L12)</f>
        <v/>
      </c>
      <c r="N12" s="41">
        <f>IF(N(C12)=0,"",IF(E12="Sí",MIN(I12*10%,32*Parámetros!$C$8),0)+MIN(N(F12),100*Parámetros!$C$8)+MIN(N(G12),16*Parámetros!$C$8)+MIN(N(H12),I12*30%,3800*Parámetros!$C$8/12))</f>
        <v/>
      </c>
      <c r="O12" s="41">
        <f>IF(N(C12)=0,"",MIN(MAX(M12-N12,0)*25%,790*Parámetros!$C$8/12))</f>
        <v/>
      </c>
      <c r="P12" s="41">
        <f>IF(N(C12)=0,"",MIN(M12*40%,1340*Parámetros!$C$8/12))</f>
        <v/>
      </c>
      <c r="Q12" s="41">
        <f>IF(N(C12)=0,"",MAX(M12-MIN(N12+O12,P12),0))</f>
        <v/>
      </c>
      <c r="R12" s="42">
        <f>IF(N(C12)=0,"",Q12/Parámetros!$C$8)</f>
        <v/>
      </c>
      <c r="S12" s="43">
        <f>IF(N(C12)=0,"",IF(R12&lt;=95,0,(R12-VLOOKUP(R12,Parámetros!$B$13:$F$19,4,TRUE))*VLOOKUP(R12,Parámetros!$B$13:$F$19,3,TRUE)+VLOOKUP(R12,Parámetros!$B$13:$F$19,5,TRUE))*Parámetros!$C$8)</f>
        <v/>
      </c>
    </row>
    <row r="13">
      <c r="B13" s="35" t="n"/>
      <c r="C13" s="36" t="n"/>
      <c r="D13" s="36" t="n"/>
      <c r="E13" s="37" t="n"/>
      <c r="F13" s="36" t="n"/>
      <c r="G13" s="36" t="n"/>
      <c r="H13" s="36" t="n"/>
      <c r="I13" s="38">
        <f>IF(N(C13)=0,"",N(C13)+N(D13))</f>
        <v/>
      </c>
      <c r="J13" s="38">
        <f>IF(N(C13)=0,"",MIN(I13,25*Parámetros!$C$9))</f>
        <v/>
      </c>
      <c r="K13" s="38">
        <f>IF(N(C13)=0,"",J13*8%)</f>
        <v/>
      </c>
      <c r="L13" s="38">
        <f>IF(N(C13)=0,"",J13*IF(J13&lt;4*Parámetros!$C$9,0,IF(J13&lt;16*Parámetros!$C$9,1%,IF(J13&lt;17*Parámetros!$C$9,1.2%,IF(J13&lt;18*Parámetros!$C$9,1.4%,IF(J13&lt;19*Parámetros!$C$9,1.6%,IF(J13&lt;20*Parámetros!$C$9,1.8%,2%)))))))</f>
        <v/>
      </c>
      <c r="M13" s="38">
        <f>IF(N(C13)=0,"",I13-K13-L13)</f>
        <v/>
      </c>
      <c r="N13" s="38">
        <f>IF(N(C13)=0,"",IF(E13="Sí",MIN(I13*10%,32*Parámetros!$C$8),0)+MIN(N(F13),100*Parámetros!$C$8)+MIN(N(G13),16*Parámetros!$C$8)+MIN(N(H13),I13*30%,3800*Parámetros!$C$8/12))</f>
        <v/>
      </c>
      <c r="O13" s="38">
        <f>IF(N(C13)=0,"",MIN(MAX(M13-N13,0)*25%,790*Parámetros!$C$8/12))</f>
        <v/>
      </c>
      <c r="P13" s="38">
        <f>IF(N(C13)=0,"",MIN(M13*40%,1340*Parámetros!$C$8/12))</f>
        <v/>
      </c>
      <c r="Q13" s="38">
        <f>IF(N(C13)=0,"",MAX(M13-MIN(N13+O13,P13),0))</f>
        <v/>
      </c>
      <c r="R13" s="39">
        <f>IF(N(C13)=0,"",Q13/Parámetros!$C$8)</f>
        <v/>
      </c>
      <c r="S13" s="40">
        <f>IF(N(C13)=0,"",IF(R13&lt;=95,0,(R13-VLOOKUP(R13,Parámetros!$B$13:$F$19,4,TRUE))*VLOOKUP(R13,Parámetros!$B$13:$F$19,3,TRUE)+VLOOKUP(R13,Parámetros!$B$13:$F$19,5,TRUE))*Parámetros!$C$8)</f>
        <v/>
      </c>
    </row>
    <row r="14">
      <c r="B14" s="35" t="n"/>
      <c r="C14" s="36" t="n"/>
      <c r="D14" s="36" t="n"/>
      <c r="E14" s="37" t="n"/>
      <c r="F14" s="36" t="n"/>
      <c r="G14" s="36" t="n"/>
      <c r="H14" s="36" t="n"/>
      <c r="I14" s="41">
        <f>IF(N(C14)=0,"",N(C14)+N(D14))</f>
        <v/>
      </c>
      <c r="J14" s="41">
        <f>IF(N(C14)=0,"",MIN(I14,25*Parámetros!$C$9))</f>
        <v/>
      </c>
      <c r="K14" s="41">
        <f>IF(N(C14)=0,"",J14*8%)</f>
        <v/>
      </c>
      <c r="L14" s="41">
        <f>IF(N(C14)=0,"",J14*IF(J14&lt;4*Parámetros!$C$9,0,IF(J14&lt;16*Parámetros!$C$9,1%,IF(J14&lt;17*Parámetros!$C$9,1.2%,IF(J14&lt;18*Parámetros!$C$9,1.4%,IF(J14&lt;19*Parámetros!$C$9,1.6%,IF(J14&lt;20*Parámetros!$C$9,1.8%,2%)))))))</f>
        <v/>
      </c>
      <c r="M14" s="41">
        <f>IF(N(C14)=0,"",I14-K14-L14)</f>
        <v/>
      </c>
      <c r="N14" s="41">
        <f>IF(N(C14)=0,"",IF(E14="Sí",MIN(I14*10%,32*Parámetros!$C$8),0)+MIN(N(F14),100*Parámetros!$C$8)+MIN(N(G14),16*Parámetros!$C$8)+MIN(N(H14),I14*30%,3800*Parámetros!$C$8/12))</f>
        <v/>
      </c>
      <c r="O14" s="41">
        <f>IF(N(C14)=0,"",MIN(MAX(M14-N14,0)*25%,790*Parámetros!$C$8/12))</f>
        <v/>
      </c>
      <c r="P14" s="41">
        <f>IF(N(C14)=0,"",MIN(M14*40%,1340*Parámetros!$C$8/12))</f>
        <v/>
      </c>
      <c r="Q14" s="41">
        <f>IF(N(C14)=0,"",MAX(M14-MIN(N14+O14,P14),0))</f>
        <v/>
      </c>
      <c r="R14" s="42">
        <f>IF(N(C14)=0,"",Q14/Parámetros!$C$8)</f>
        <v/>
      </c>
      <c r="S14" s="43">
        <f>IF(N(C14)=0,"",IF(R14&lt;=95,0,(R14-VLOOKUP(R14,Parámetros!$B$13:$F$19,4,TRUE))*VLOOKUP(R14,Parámetros!$B$13:$F$19,3,TRUE)+VLOOKUP(R14,Parámetros!$B$13:$F$19,5,TRUE))*Parámetros!$C$8)</f>
        <v/>
      </c>
    </row>
    <row r="15">
      <c r="B15" s="35" t="n"/>
      <c r="C15" s="36" t="n"/>
      <c r="D15" s="36" t="n"/>
      <c r="E15" s="37" t="n"/>
      <c r="F15" s="36" t="n"/>
      <c r="G15" s="36" t="n"/>
      <c r="H15" s="36" t="n"/>
      <c r="I15" s="38">
        <f>IF(N(C15)=0,"",N(C15)+N(D15))</f>
        <v/>
      </c>
      <c r="J15" s="38">
        <f>IF(N(C15)=0,"",MIN(I15,25*Parámetros!$C$9))</f>
        <v/>
      </c>
      <c r="K15" s="38">
        <f>IF(N(C15)=0,"",J15*8%)</f>
        <v/>
      </c>
      <c r="L15" s="38">
        <f>IF(N(C15)=0,"",J15*IF(J15&lt;4*Parámetros!$C$9,0,IF(J15&lt;16*Parámetros!$C$9,1%,IF(J15&lt;17*Parámetros!$C$9,1.2%,IF(J15&lt;18*Parámetros!$C$9,1.4%,IF(J15&lt;19*Parámetros!$C$9,1.6%,IF(J15&lt;20*Parámetros!$C$9,1.8%,2%)))))))</f>
        <v/>
      </c>
      <c r="M15" s="38">
        <f>IF(N(C15)=0,"",I15-K15-L15)</f>
        <v/>
      </c>
      <c r="N15" s="38">
        <f>IF(N(C15)=0,"",IF(E15="Sí",MIN(I15*10%,32*Parámetros!$C$8),0)+MIN(N(F15),100*Parámetros!$C$8)+MIN(N(G15),16*Parámetros!$C$8)+MIN(N(H15),I15*30%,3800*Parámetros!$C$8/12))</f>
        <v/>
      </c>
      <c r="O15" s="38">
        <f>IF(N(C15)=0,"",MIN(MAX(M15-N15,0)*25%,790*Parámetros!$C$8/12))</f>
        <v/>
      </c>
      <c r="P15" s="38">
        <f>IF(N(C15)=0,"",MIN(M15*40%,1340*Parámetros!$C$8/12))</f>
        <v/>
      </c>
      <c r="Q15" s="38">
        <f>IF(N(C15)=0,"",MAX(M15-MIN(N15+O15,P15),0))</f>
        <v/>
      </c>
      <c r="R15" s="39">
        <f>IF(N(C15)=0,"",Q15/Parámetros!$C$8)</f>
        <v/>
      </c>
      <c r="S15" s="40">
        <f>IF(N(C15)=0,"",IF(R15&lt;=95,0,(R15-VLOOKUP(R15,Parámetros!$B$13:$F$19,4,TRUE))*VLOOKUP(R15,Parámetros!$B$13:$F$19,3,TRUE)+VLOOKUP(R15,Parámetros!$B$13:$F$19,5,TRUE))*Parámetros!$C$8)</f>
        <v/>
      </c>
    </row>
    <row r="16">
      <c r="B16" s="35" t="n"/>
      <c r="C16" s="36" t="n"/>
      <c r="D16" s="36" t="n"/>
      <c r="E16" s="37" t="n"/>
      <c r="F16" s="36" t="n"/>
      <c r="G16" s="36" t="n"/>
      <c r="H16" s="36" t="n"/>
      <c r="I16" s="41">
        <f>IF(N(C16)=0,"",N(C16)+N(D16))</f>
        <v/>
      </c>
      <c r="J16" s="41">
        <f>IF(N(C16)=0,"",MIN(I16,25*Parámetros!$C$9))</f>
        <v/>
      </c>
      <c r="K16" s="41">
        <f>IF(N(C16)=0,"",J16*8%)</f>
        <v/>
      </c>
      <c r="L16" s="41">
        <f>IF(N(C16)=0,"",J16*IF(J16&lt;4*Parámetros!$C$9,0,IF(J16&lt;16*Parámetros!$C$9,1%,IF(J16&lt;17*Parámetros!$C$9,1.2%,IF(J16&lt;18*Parámetros!$C$9,1.4%,IF(J16&lt;19*Parámetros!$C$9,1.6%,IF(J16&lt;20*Parámetros!$C$9,1.8%,2%)))))))</f>
        <v/>
      </c>
      <c r="M16" s="41">
        <f>IF(N(C16)=0,"",I16-K16-L16)</f>
        <v/>
      </c>
      <c r="N16" s="41">
        <f>IF(N(C16)=0,"",IF(E16="Sí",MIN(I16*10%,32*Parámetros!$C$8),0)+MIN(N(F16),100*Parámetros!$C$8)+MIN(N(G16),16*Parámetros!$C$8)+MIN(N(H16),I16*30%,3800*Parámetros!$C$8/12))</f>
        <v/>
      </c>
      <c r="O16" s="41">
        <f>IF(N(C16)=0,"",MIN(MAX(M16-N16,0)*25%,790*Parámetros!$C$8/12))</f>
        <v/>
      </c>
      <c r="P16" s="41">
        <f>IF(N(C16)=0,"",MIN(M16*40%,1340*Parámetros!$C$8/12))</f>
        <v/>
      </c>
      <c r="Q16" s="41">
        <f>IF(N(C16)=0,"",MAX(M16-MIN(N16+O16,P16),0))</f>
        <v/>
      </c>
      <c r="R16" s="42">
        <f>IF(N(C16)=0,"",Q16/Parámetros!$C$8)</f>
        <v/>
      </c>
      <c r="S16" s="43">
        <f>IF(N(C16)=0,"",IF(R16&lt;=95,0,(R16-VLOOKUP(R16,Parámetros!$B$13:$F$19,4,TRUE))*VLOOKUP(R16,Parámetros!$B$13:$F$19,3,TRUE)+VLOOKUP(R16,Parámetros!$B$13:$F$19,5,TRUE))*Parámetros!$C$8)</f>
        <v/>
      </c>
    </row>
    <row r="17">
      <c r="B17" s="35" t="n"/>
      <c r="C17" s="36" t="n"/>
      <c r="D17" s="36" t="n"/>
      <c r="E17" s="37" t="n"/>
      <c r="F17" s="36" t="n"/>
      <c r="G17" s="36" t="n"/>
      <c r="H17" s="36" t="n"/>
      <c r="I17" s="38">
        <f>IF(N(C17)=0,"",N(C17)+N(D17))</f>
        <v/>
      </c>
      <c r="J17" s="38">
        <f>IF(N(C17)=0,"",MIN(I17,25*Parámetros!$C$9))</f>
        <v/>
      </c>
      <c r="K17" s="38">
        <f>IF(N(C17)=0,"",J17*8%)</f>
        <v/>
      </c>
      <c r="L17" s="38">
        <f>IF(N(C17)=0,"",J17*IF(J17&lt;4*Parámetros!$C$9,0,IF(J17&lt;16*Parámetros!$C$9,1%,IF(J17&lt;17*Parámetros!$C$9,1.2%,IF(J17&lt;18*Parámetros!$C$9,1.4%,IF(J17&lt;19*Parámetros!$C$9,1.6%,IF(J17&lt;20*Parámetros!$C$9,1.8%,2%)))))))</f>
        <v/>
      </c>
      <c r="M17" s="38">
        <f>IF(N(C17)=0,"",I17-K17-L17)</f>
        <v/>
      </c>
      <c r="N17" s="38">
        <f>IF(N(C17)=0,"",IF(E17="Sí",MIN(I17*10%,32*Parámetros!$C$8),0)+MIN(N(F17),100*Parámetros!$C$8)+MIN(N(G17),16*Parámetros!$C$8)+MIN(N(H17),I17*30%,3800*Parámetros!$C$8/12))</f>
        <v/>
      </c>
      <c r="O17" s="38">
        <f>IF(N(C17)=0,"",MIN(MAX(M17-N17,0)*25%,790*Parámetros!$C$8/12))</f>
        <v/>
      </c>
      <c r="P17" s="38">
        <f>IF(N(C17)=0,"",MIN(M17*40%,1340*Parámetros!$C$8/12))</f>
        <v/>
      </c>
      <c r="Q17" s="38">
        <f>IF(N(C17)=0,"",MAX(M17-MIN(N17+O17,P17),0))</f>
        <v/>
      </c>
      <c r="R17" s="39">
        <f>IF(N(C17)=0,"",Q17/Parámetros!$C$8)</f>
        <v/>
      </c>
      <c r="S17" s="40">
        <f>IF(N(C17)=0,"",IF(R17&lt;=95,0,(R17-VLOOKUP(R17,Parámetros!$B$13:$F$19,4,TRUE))*VLOOKUP(R17,Parámetros!$B$13:$F$19,3,TRUE)+VLOOKUP(R17,Parámetros!$B$13:$F$19,5,TRUE))*Parámetros!$C$8)</f>
        <v/>
      </c>
    </row>
    <row r="18">
      <c r="B18" s="35" t="n"/>
      <c r="C18" s="36" t="n"/>
      <c r="D18" s="36" t="n"/>
      <c r="E18" s="37" t="n"/>
      <c r="F18" s="36" t="n"/>
      <c r="G18" s="36" t="n"/>
      <c r="H18" s="36" t="n"/>
      <c r="I18" s="41">
        <f>IF(N(C18)=0,"",N(C18)+N(D18))</f>
        <v/>
      </c>
      <c r="J18" s="41">
        <f>IF(N(C18)=0,"",MIN(I18,25*Parámetros!$C$9))</f>
        <v/>
      </c>
      <c r="K18" s="41">
        <f>IF(N(C18)=0,"",J18*8%)</f>
        <v/>
      </c>
      <c r="L18" s="41">
        <f>IF(N(C18)=0,"",J18*IF(J18&lt;4*Parámetros!$C$9,0,IF(J18&lt;16*Parámetros!$C$9,1%,IF(J18&lt;17*Parámetros!$C$9,1.2%,IF(J18&lt;18*Parámetros!$C$9,1.4%,IF(J18&lt;19*Parámetros!$C$9,1.6%,IF(J18&lt;20*Parámetros!$C$9,1.8%,2%)))))))</f>
        <v/>
      </c>
      <c r="M18" s="41">
        <f>IF(N(C18)=0,"",I18-K18-L18)</f>
        <v/>
      </c>
      <c r="N18" s="41">
        <f>IF(N(C18)=0,"",IF(E18="Sí",MIN(I18*10%,32*Parámetros!$C$8),0)+MIN(N(F18),100*Parámetros!$C$8)+MIN(N(G18),16*Parámetros!$C$8)+MIN(N(H18),I18*30%,3800*Parámetros!$C$8/12))</f>
        <v/>
      </c>
      <c r="O18" s="41">
        <f>IF(N(C18)=0,"",MIN(MAX(M18-N18,0)*25%,790*Parámetros!$C$8/12))</f>
        <v/>
      </c>
      <c r="P18" s="41">
        <f>IF(N(C18)=0,"",MIN(M18*40%,1340*Parámetros!$C$8/12))</f>
        <v/>
      </c>
      <c r="Q18" s="41">
        <f>IF(N(C18)=0,"",MAX(M18-MIN(N18+O18,P18),0))</f>
        <v/>
      </c>
      <c r="R18" s="42">
        <f>IF(N(C18)=0,"",Q18/Parámetros!$C$8)</f>
        <v/>
      </c>
      <c r="S18" s="43">
        <f>IF(N(C18)=0,"",IF(R18&lt;=95,0,(R18-VLOOKUP(R18,Parámetros!$B$13:$F$19,4,TRUE))*VLOOKUP(R18,Parámetros!$B$13:$F$19,3,TRUE)+VLOOKUP(R18,Parámetros!$B$13:$F$19,5,TRUE))*Parámetros!$C$8)</f>
        <v/>
      </c>
    </row>
    <row r="19">
      <c r="B19" s="35" t="n"/>
      <c r="C19" s="36" t="n"/>
      <c r="D19" s="36" t="n"/>
      <c r="E19" s="37" t="n"/>
      <c r="F19" s="36" t="n"/>
      <c r="G19" s="36" t="n"/>
      <c r="H19" s="36" t="n"/>
      <c r="I19" s="38">
        <f>IF(N(C19)=0,"",N(C19)+N(D19))</f>
        <v/>
      </c>
      <c r="J19" s="38">
        <f>IF(N(C19)=0,"",MIN(I19,25*Parámetros!$C$9))</f>
        <v/>
      </c>
      <c r="K19" s="38">
        <f>IF(N(C19)=0,"",J19*8%)</f>
        <v/>
      </c>
      <c r="L19" s="38">
        <f>IF(N(C19)=0,"",J19*IF(J19&lt;4*Parámetros!$C$9,0,IF(J19&lt;16*Parámetros!$C$9,1%,IF(J19&lt;17*Parámetros!$C$9,1.2%,IF(J19&lt;18*Parámetros!$C$9,1.4%,IF(J19&lt;19*Parámetros!$C$9,1.6%,IF(J19&lt;20*Parámetros!$C$9,1.8%,2%)))))))</f>
        <v/>
      </c>
      <c r="M19" s="38">
        <f>IF(N(C19)=0,"",I19-K19-L19)</f>
        <v/>
      </c>
      <c r="N19" s="38">
        <f>IF(N(C19)=0,"",IF(E19="Sí",MIN(I19*10%,32*Parámetros!$C$8),0)+MIN(N(F19),100*Parámetros!$C$8)+MIN(N(G19),16*Parámetros!$C$8)+MIN(N(H19),I19*30%,3800*Parámetros!$C$8/12))</f>
        <v/>
      </c>
      <c r="O19" s="38">
        <f>IF(N(C19)=0,"",MIN(MAX(M19-N19,0)*25%,790*Parámetros!$C$8/12))</f>
        <v/>
      </c>
      <c r="P19" s="38">
        <f>IF(N(C19)=0,"",MIN(M19*40%,1340*Parámetros!$C$8/12))</f>
        <v/>
      </c>
      <c r="Q19" s="38">
        <f>IF(N(C19)=0,"",MAX(M19-MIN(N19+O19,P19),0))</f>
        <v/>
      </c>
      <c r="R19" s="39">
        <f>IF(N(C19)=0,"",Q19/Parámetros!$C$8)</f>
        <v/>
      </c>
      <c r="S19" s="40">
        <f>IF(N(C19)=0,"",IF(R19&lt;=95,0,(R19-VLOOKUP(R19,Parámetros!$B$13:$F$19,4,TRUE))*VLOOKUP(R19,Parámetros!$B$13:$F$19,3,TRUE)+VLOOKUP(R19,Parámetros!$B$13:$F$19,5,TRUE))*Parámetros!$C$8)</f>
        <v/>
      </c>
    </row>
    <row r="20">
      <c r="B20" s="35" t="n"/>
      <c r="C20" s="36" t="n"/>
      <c r="D20" s="36" t="n"/>
      <c r="E20" s="37" t="n"/>
      <c r="F20" s="36" t="n"/>
      <c r="G20" s="36" t="n"/>
      <c r="H20" s="36" t="n"/>
      <c r="I20" s="41">
        <f>IF(N(C20)=0,"",N(C20)+N(D20))</f>
        <v/>
      </c>
      <c r="J20" s="41">
        <f>IF(N(C20)=0,"",MIN(I20,25*Parámetros!$C$9))</f>
        <v/>
      </c>
      <c r="K20" s="41">
        <f>IF(N(C20)=0,"",J20*8%)</f>
        <v/>
      </c>
      <c r="L20" s="41">
        <f>IF(N(C20)=0,"",J20*IF(J20&lt;4*Parámetros!$C$9,0,IF(J20&lt;16*Parámetros!$C$9,1%,IF(J20&lt;17*Parámetros!$C$9,1.2%,IF(J20&lt;18*Parámetros!$C$9,1.4%,IF(J20&lt;19*Parámetros!$C$9,1.6%,IF(J20&lt;20*Parámetros!$C$9,1.8%,2%)))))))</f>
        <v/>
      </c>
      <c r="M20" s="41">
        <f>IF(N(C20)=0,"",I20-K20-L20)</f>
        <v/>
      </c>
      <c r="N20" s="41">
        <f>IF(N(C20)=0,"",IF(E20="Sí",MIN(I20*10%,32*Parámetros!$C$8),0)+MIN(N(F20),100*Parámetros!$C$8)+MIN(N(G20),16*Parámetros!$C$8)+MIN(N(H20),I20*30%,3800*Parámetros!$C$8/12))</f>
        <v/>
      </c>
      <c r="O20" s="41">
        <f>IF(N(C20)=0,"",MIN(MAX(M20-N20,0)*25%,790*Parámetros!$C$8/12))</f>
        <v/>
      </c>
      <c r="P20" s="41">
        <f>IF(N(C20)=0,"",MIN(M20*40%,1340*Parámetros!$C$8/12))</f>
        <v/>
      </c>
      <c r="Q20" s="41">
        <f>IF(N(C20)=0,"",MAX(M20-MIN(N20+O20,P20),0))</f>
        <v/>
      </c>
      <c r="R20" s="42">
        <f>IF(N(C20)=0,"",Q20/Parámetros!$C$8)</f>
        <v/>
      </c>
      <c r="S20" s="43">
        <f>IF(N(C20)=0,"",IF(R20&lt;=95,0,(R20-VLOOKUP(R20,Parámetros!$B$13:$F$19,4,TRUE))*VLOOKUP(R20,Parámetros!$B$13:$F$19,3,TRUE)+VLOOKUP(R20,Parámetros!$B$13:$F$19,5,TRUE))*Parámetros!$C$8)</f>
        <v/>
      </c>
    </row>
    <row r="21">
      <c r="B21" s="35" t="n"/>
      <c r="C21" s="36" t="n"/>
      <c r="D21" s="36" t="n"/>
      <c r="E21" s="37" t="n"/>
      <c r="F21" s="36" t="n"/>
      <c r="G21" s="36" t="n"/>
      <c r="H21" s="36" t="n"/>
      <c r="I21" s="38">
        <f>IF(N(C21)=0,"",N(C21)+N(D21))</f>
        <v/>
      </c>
      <c r="J21" s="38">
        <f>IF(N(C21)=0,"",MIN(I21,25*Parámetros!$C$9))</f>
        <v/>
      </c>
      <c r="K21" s="38">
        <f>IF(N(C21)=0,"",J21*8%)</f>
        <v/>
      </c>
      <c r="L21" s="38">
        <f>IF(N(C21)=0,"",J21*IF(J21&lt;4*Parámetros!$C$9,0,IF(J21&lt;16*Parámetros!$C$9,1%,IF(J21&lt;17*Parámetros!$C$9,1.2%,IF(J21&lt;18*Parámetros!$C$9,1.4%,IF(J21&lt;19*Parámetros!$C$9,1.6%,IF(J21&lt;20*Parámetros!$C$9,1.8%,2%)))))))</f>
        <v/>
      </c>
      <c r="M21" s="38">
        <f>IF(N(C21)=0,"",I21-K21-L21)</f>
        <v/>
      </c>
      <c r="N21" s="38">
        <f>IF(N(C21)=0,"",IF(E21="Sí",MIN(I21*10%,32*Parámetros!$C$8),0)+MIN(N(F21),100*Parámetros!$C$8)+MIN(N(G21),16*Parámetros!$C$8)+MIN(N(H21),I21*30%,3800*Parámetros!$C$8/12))</f>
        <v/>
      </c>
      <c r="O21" s="38">
        <f>IF(N(C21)=0,"",MIN(MAX(M21-N21,0)*25%,790*Parámetros!$C$8/12))</f>
        <v/>
      </c>
      <c r="P21" s="38">
        <f>IF(N(C21)=0,"",MIN(M21*40%,1340*Parámetros!$C$8/12))</f>
        <v/>
      </c>
      <c r="Q21" s="38">
        <f>IF(N(C21)=0,"",MAX(M21-MIN(N21+O21,P21),0))</f>
        <v/>
      </c>
      <c r="R21" s="39">
        <f>IF(N(C21)=0,"",Q21/Parámetros!$C$8)</f>
        <v/>
      </c>
      <c r="S21" s="40">
        <f>IF(N(C21)=0,"",IF(R21&lt;=95,0,(R21-VLOOKUP(R21,Parámetros!$B$13:$F$19,4,TRUE))*VLOOKUP(R21,Parámetros!$B$13:$F$19,3,TRUE)+VLOOKUP(R21,Parámetros!$B$13:$F$19,5,TRUE))*Parámetros!$C$8)</f>
        <v/>
      </c>
    </row>
    <row r="22">
      <c r="B22" s="35" t="n"/>
      <c r="C22" s="36" t="n"/>
      <c r="D22" s="36" t="n"/>
      <c r="E22" s="37" t="n"/>
      <c r="F22" s="36" t="n"/>
      <c r="G22" s="36" t="n"/>
      <c r="H22" s="36" t="n"/>
      <c r="I22" s="41">
        <f>IF(N(C22)=0,"",N(C22)+N(D22))</f>
        <v/>
      </c>
      <c r="J22" s="41">
        <f>IF(N(C22)=0,"",MIN(I22,25*Parámetros!$C$9))</f>
        <v/>
      </c>
      <c r="K22" s="41">
        <f>IF(N(C22)=0,"",J22*8%)</f>
        <v/>
      </c>
      <c r="L22" s="41">
        <f>IF(N(C22)=0,"",J22*IF(J22&lt;4*Parámetros!$C$9,0,IF(J22&lt;16*Parámetros!$C$9,1%,IF(J22&lt;17*Parámetros!$C$9,1.2%,IF(J22&lt;18*Parámetros!$C$9,1.4%,IF(J22&lt;19*Parámetros!$C$9,1.6%,IF(J22&lt;20*Parámetros!$C$9,1.8%,2%)))))))</f>
        <v/>
      </c>
      <c r="M22" s="41">
        <f>IF(N(C22)=0,"",I22-K22-L22)</f>
        <v/>
      </c>
      <c r="N22" s="41">
        <f>IF(N(C22)=0,"",IF(E22="Sí",MIN(I22*10%,32*Parámetros!$C$8),0)+MIN(N(F22),100*Parámetros!$C$8)+MIN(N(G22),16*Parámetros!$C$8)+MIN(N(H22),I22*30%,3800*Parámetros!$C$8/12))</f>
        <v/>
      </c>
      <c r="O22" s="41">
        <f>IF(N(C22)=0,"",MIN(MAX(M22-N22,0)*25%,790*Parámetros!$C$8/12))</f>
        <v/>
      </c>
      <c r="P22" s="41">
        <f>IF(N(C22)=0,"",MIN(M22*40%,1340*Parámetros!$C$8/12))</f>
        <v/>
      </c>
      <c r="Q22" s="41">
        <f>IF(N(C22)=0,"",MAX(M22-MIN(N22+O22,P22),0))</f>
        <v/>
      </c>
      <c r="R22" s="42">
        <f>IF(N(C22)=0,"",Q22/Parámetros!$C$8)</f>
        <v/>
      </c>
      <c r="S22" s="43">
        <f>IF(N(C22)=0,"",IF(R22&lt;=95,0,(R22-VLOOKUP(R22,Parámetros!$B$13:$F$19,4,TRUE))*VLOOKUP(R22,Parámetros!$B$13:$F$19,3,TRUE)+VLOOKUP(R22,Parámetros!$B$13:$F$19,5,TRUE))*Parámetros!$C$8)</f>
        <v/>
      </c>
    </row>
    <row r="23">
      <c r="B23" s="35" t="n"/>
      <c r="C23" s="36" t="n"/>
      <c r="D23" s="36" t="n"/>
      <c r="E23" s="37" t="n"/>
      <c r="F23" s="36" t="n"/>
      <c r="G23" s="36" t="n"/>
      <c r="H23" s="36" t="n"/>
      <c r="I23" s="38">
        <f>IF(N(C23)=0,"",N(C23)+N(D23))</f>
        <v/>
      </c>
      <c r="J23" s="38">
        <f>IF(N(C23)=0,"",MIN(I23,25*Parámetros!$C$9))</f>
        <v/>
      </c>
      <c r="K23" s="38">
        <f>IF(N(C23)=0,"",J23*8%)</f>
        <v/>
      </c>
      <c r="L23" s="38">
        <f>IF(N(C23)=0,"",J23*IF(J23&lt;4*Parámetros!$C$9,0,IF(J23&lt;16*Parámetros!$C$9,1%,IF(J23&lt;17*Parámetros!$C$9,1.2%,IF(J23&lt;18*Parámetros!$C$9,1.4%,IF(J23&lt;19*Parámetros!$C$9,1.6%,IF(J23&lt;20*Parámetros!$C$9,1.8%,2%)))))))</f>
        <v/>
      </c>
      <c r="M23" s="38">
        <f>IF(N(C23)=0,"",I23-K23-L23)</f>
        <v/>
      </c>
      <c r="N23" s="38">
        <f>IF(N(C23)=0,"",IF(E23="Sí",MIN(I23*10%,32*Parámetros!$C$8),0)+MIN(N(F23),100*Parámetros!$C$8)+MIN(N(G23),16*Parámetros!$C$8)+MIN(N(H23),I23*30%,3800*Parámetros!$C$8/12))</f>
        <v/>
      </c>
      <c r="O23" s="38">
        <f>IF(N(C23)=0,"",MIN(MAX(M23-N23,0)*25%,790*Parámetros!$C$8/12))</f>
        <v/>
      </c>
      <c r="P23" s="38">
        <f>IF(N(C23)=0,"",MIN(M23*40%,1340*Parámetros!$C$8/12))</f>
        <v/>
      </c>
      <c r="Q23" s="38">
        <f>IF(N(C23)=0,"",MAX(M23-MIN(N23+O23,P23),0))</f>
        <v/>
      </c>
      <c r="R23" s="39">
        <f>IF(N(C23)=0,"",Q23/Parámetros!$C$8)</f>
        <v/>
      </c>
      <c r="S23" s="40">
        <f>IF(N(C23)=0,"",IF(R23&lt;=95,0,(R23-VLOOKUP(R23,Parámetros!$B$13:$F$19,4,TRUE))*VLOOKUP(R23,Parámetros!$B$13:$F$19,3,TRUE)+VLOOKUP(R23,Parámetros!$B$13:$F$19,5,TRUE))*Parámetros!$C$8)</f>
        <v/>
      </c>
    </row>
    <row r="24">
      <c r="B24" s="35" t="n"/>
      <c r="C24" s="36" t="n"/>
      <c r="D24" s="36" t="n"/>
      <c r="E24" s="37" t="n"/>
      <c r="F24" s="36" t="n"/>
      <c r="G24" s="36" t="n"/>
      <c r="H24" s="36" t="n"/>
      <c r="I24" s="41">
        <f>IF(N(C24)=0,"",N(C24)+N(D24))</f>
        <v/>
      </c>
      <c r="J24" s="41">
        <f>IF(N(C24)=0,"",MIN(I24,25*Parámetros!$C$9))</f>
        <v/>
      </c>
      <c r="K24" s="41">
        <f>IF(N(C24)=0,"",J24*8%)</f>
        <v/>
      </c>
      <c r="L24" s="41">
        <f>IF(N(C24)=0,"",J24*IF(J24&lt;4*Parámetros!$C$9,0,IF(J24&lt;16*Parámetros!$C$9,1%,IF(J24&lt;17*Parámetros!$C$9,1.2%,IF(J24&lt;18*Parámetros!$C$9,1.4%,IF(J24&lt;19*Parámetros!$C$9,1.6%,IF(J24&lt;20*Parámetros!$C$9,1.8%,2%)))))))</f>
        <v/>
      </c>
      <c r="M24" s="41">
        <f>IF(N(C24)=0,"",I24-K24-L24)</f>
        <v/>
      </c>
      <c r="N24" s="41">
        <f>IF(N(C24)=0,"",IF(E24="Sí",MIN(I24*10%,32*Parámetros!$C$8),0)+MIN(N(F24),100*Parámetros!$C$8)+MIN(N(G24),16*Parámetros!$C$8)+MIN(N(H24),I24*30%,3800*Parámetros!$C$8/12))</f>
        <v/>
      </c>
      <c r="O24" s="41">
        <f>IF(N(C24)=0,"",MIN(MAX(M24-N24,0)*25%,790*Parámetros!$C$8/12))</f>
        <v/>
      </c>
      <c r="P24" s="41">
        <f>IF(N(C24)=0,"",MIN(M24*40%,1340*Parámetros!$C$8/12))</f>
        <v/>
      </c>
      <c r="Q24" s="41">
        <f>IF(N(C24)=0,"",MAX(M24-MIN(N24+O24,P24),0))</f>
        <v/>
      </c>
      <c r="R24" s="42">
        <f>IF(N(C24)=0,"",Q24/Parámetros!$C$8)</f>
        <v/>
      </c>
      <c r="S24" s="43">
        <f>IF(N(C24)=0,"",IF(R24&lt;=95,0,(R24-VLOOKUP(R24,Parámetros!$B$13:$F$19,4,TRUE))*VLOOKUP(R24,Parámetros!$B$13:$F$19,3,TRUE)+VLOOKUP(R24,Parámetros!$B$13:$F$19,5,TRUE))*Parámetros!$C$8)</f>
        <v/>
      </c>
    </row>
    <row r="25">
      <c r="B25" s="35" t="n"/>
      <c r="C25" s="36" t="n"/>
      <c r="D25" s="36" t="n"/>
      <c r="E25" s="37" t="n"/>
      <c r="F25" s="36" t="n"/>
      <c r="G25" s="36" t="n"/>
      <c r="H25" s="36" t="n"/>
      <c r="I25" s="38">
        <f>IF(N(C25)=0,"",N(C25)+N(D25))</f>
        <v/>
      </c>
      <c r="J25" s="38">
        <f>IF(N(C25)=0,"",MIN(I25,25*Parámetros!$C$9))</f>
        <v/>
      </c>
      <c r="K25" s="38">
        <f>IF(N(C25)=0,"",J25*8%)</f>
        <v/>
      </c>
      <c r="L25" s="38">
        <f>IF(N(C25)=0,"",J25*IF(J25&lt;4*Parámetros!$C$9,0,IF(J25&lt;16*Parámetros!$C$9,1%,IF(J25&lt;17*Parámetros!$C$9,1.2%,IF(J25&lt;18*Parámetros!$C$9,1.4%,IF(J25&lt;19*Parámetros!$C$9,1.6%,IF(J25&lt;20*Parámetros!$C$9,1.8%,2%)))))))</f>
        <v/>
      </c>
      <c r="M25" s="38">
        <f>IF(N(C25)=0,"",I25-K25-L25)</f>
        <v/>
      </c>
      <c r="N25" s="38">
        <f>IF(N(C25)=0,"",IF(E25="Sí",MIN(I25*10%,32*Parámetros!$C$8),0)+MIN(N(F25),100*Parámetros!$C$8)+MIN(N(G25),16*Parámetros!$C$8)+MIN(N(H25),I25*30%,3800*Parámetros!$C$8/12))</f>
        <v/>
      </c>
      <c r="O25" s="38">
        <f>IF(N(C25)=0,"",MIN(MAX(M25-N25,0)*25%,790*Parámetros!$C$8/12))</f>
        <v/>
      </c>
      <c r="P25" s="38">
        <f>IF(N(C25)=0,"",MIN(M25*40%,1340*Parámetros!$C$8/12))</f>
        <v/>
      </c>
      <c r="Q25" s="38">
        <f>IF(N(C25)=0,"",MAX(M25-MIN(N25+O25,P25),0))</f>
        <v/>
      </c>
      <c r="R25" s="39">
        <f>IF(N(C25)=0,"",Q25/Parámetros!$C$8)</f>
        <v/>
      </c>
      <c r="S25" s="40">
        <f>IF(N(C25)=0,"",IF(R25&lt;=95,0,(R25-VLOOKUP(R25,Parámetros!$B$13:$F$19,4,TRUE))*VLOOKUP(R25,Parámetros!$B$13:$F$19,3,TRUE)+VLOOKUP(R25,Parámetros!$B$13:$F$19,5,TRUE))*Parámetros!$C$8)</f>
        <v/>
      </c>
    </row>
    <row r="26">
      <c r="B26" s="35" t="n"/>
      <c r="C26" s="36" t="n"/>
      <c r="D26" s="36" t="n"/>
      <c r="E26" s="37" t="n"/>
      <c r="F26" s="36" t="n"/>
      <c r="G26" s="36" t="n"/>
      <c r="H26" s="36" t="n"/>
      <c r="I26" s="41">
        <f>IF(N(C26)=0,"",N(C26)+N(D26))</f>
        <v/>
      </c>
      <c r="J26" s="41">
        <f>IF(N(C26)=0,"",MIN(I26,25*Parámetros!$C$9))</f>
        <v/>
      </c>
      <c r="K26" s="41">
        <f>IF(N(C26)=0,"",J26*8%)</f>
        <v/>
      </c>
      <c r="L26" s="41">
        <f>IF(N(C26)=0,"",J26*IF(J26&lt;4*Parámetros!$C$9,0,IF(J26&lt;16*Parámetros!$C$9,1%,IF(J26&lt;17*Parámetros!$C$9,1.2%,IF(J26&lt;18*Parámetros!$C$9,1.4%,IF(J26&lt;19*Parámetros!$C$9,1.6%,IF(J26&lt;20*Parámetros!$C$9,1.8%,2%)))))))</f>
        <v/>
      </c>
      <c r="M26" s="41">
        <f>IF(N(C26)=0,"",I26-K26-L26)</f>
        <v/>
      </c>
      <c r="N26" s="41">
        <f>IF(N(C26)=0,"",IF(E26="Sí",MIN(I26*10%,32*Parámetros!$C$8),0)+MIN(N(F26),100*Parámetros!$C$8)+MIN(N(G26),16*Parámetros!$C$8)+MIN(N(H26),I26*30%,3800*Parámetros!$C$8/12))</f>
        <v/>
      </c>
      <c r="O26" s="41">
        <f>IF(N(C26)=0,"",MIN(MAX(M26-N26,0)*25%,790*Parámetros!$C$8/12))</f>
        <v/>
      </c>
      <c r="P26" s="41">
        <f>IF(N(C26)=0,"",MIN(M26*40%,1340*Parámetros!$C$8/12))</f>
        <v/>
      </c>
      <c r="Q26" s="41">
        <f>IF(N(C26)=0,"",MAX(M26-MIN(N26+O26,P26),0))</f>
        <v/>
      </c>
      <c r="R26" s="42">
        <f>IF(N(C26)=0,"",Q26/Parámetros!$C$8)</f>
        <v/>
      </c>
      <c r="S26" s="43">
        <f>IF(N(C26)=0,"",IF(R26&lt;=95,0,(R26-VLOOKUP(R26,Parámetros!$B$13:$F$19,4,TRUE))*VLOOKUP(R26,Parámetros!$B$13:$F$19,3,TRUE)+VLOOKUP(R26,Parámetros!$B$13:$F$19,5,TRUE))*Parámetros!$C$8)</f>
        <v/>
      </c>
    </row>
    <row r="27">
      <c r="B27" s="35" t="n"/>
      <c r="C27" s="36" t="n"/>
      <c r="D27" s="36" t="n"/>
      <c r="E27" s="37" t="n"/>
      <c r="F27" s="36" t="n"/>
      <c r="G27" s="36" t="n"/>
      <c r="H27" s="36" t="n"/>
      <c r="I27" s="38">
        <f>IF(N(C27)=0,"",N(C27)+N(D27))</f>
        <v/>
      </c>
      <c r="J27" s="38">
        <f>IF(N(C27)=0,"",MIN(I27,25*Parámetros!$C$9))</f>
        <v/>
      </c>
      <c r="K27" s="38">
        <f>IF(N(C27)=0,"",J27*8%)</f>
        <v/>
      </c>
      <c r="L27" s="38">
        <f>IF(N(C27)=0,"",J27*IF(J27&lt;4*Parámetros!$C$9,0,IF(J27&lt;16*Parámetros!$C$9,1%,IF(J27&lt;17*Parámetros!$C$9,1.2%,IF(J27&lt;18*Parámetros!$C$9,1.4%,IF(J27&lt;19*Parámetros!$C$9,1.6%,IF(J27&lt;20*Parámetros!$C$9,1.8%,2%)))))))</f>
        <v/>
      </c>
      <c r="M27" s="38">
        <f>IF(N(C27)=0,"",I27-K27-L27)</f>
        <v/>
      </c>
      <c r="N27" s="38">
        <f>IF(N(C27)=0,"",IF(E27="Sí",MIN(I27*10%,32*Parámetros!$C$8),0)+MIN(N(F27),100*Parámetros!$C$8)+MIN(N(G27),16*Parámetros!$C$8)+MIN(N(H27),I27*30%,3800*Parámetros!$C$8/12))</f>
        <v/>
      </c>
      <c r="O27" s="38">
        <f>IF(N(C27)=0,"",MIN(MAX(M27-N27,0)*25%,790*Parámetros!$C$8/12))</f>
        <v/>
      </c>
      <c r="P27" s="38">
        <f>IF(N(C27)=0,"",MIN(M27*40%,1340*Parámetros!$C$8/12))</f>
        <v/>
      </c>
      <c r="Q27" s="38">
        <f>IF(N(C27)=0,"",MAX(M27-MIN(N27+O27,P27),0))</f>
        <v/>
      </c>
      <c r="R27" s="39">
        <f>IF(N(C27)=0,"",Q27/Parámetros!$C$8)</f>
        <v/>
      </c>
      <c r="S27" s="40">
        <f>IF(N(C27)=0,"",IF(R27&lt;=95,0,(R27-VLOOKUP(R27,Parámetros!$B$13:$F$19,4,TRUE))*VLOOKUP(R27,Parámetros!$B$13:$F$19,3,TRUE)+VLOOKUP(R27,Parámetros!$B$13:$F$19,5,TRUE))*Parámetros!$C$8)</f>
        <v/>
      </c>
    </row>
    <row r="28">
      <c r="B28" s="35" t="n"/>
      <c r="C28" s="36" t="n"/>
      <c r="D28" s="36" t="n"/>
      <c r="E28" s="37" t="n"/>
      <c r="F28" s="36" t="n"/>
      <c r="G28" s="36" t="n"/>
      <c r="H28" s="36" t="n"/>
      <c r="I28" s="41">
        <f>IF(N(C28)=0,"",N(C28)+N(D28))</f>
        <v/>
      </c>
      <c r="J28" s="41">
        <f>IF(N(C28)=0,"",MIN(I28,25*Parámetros!$C$9))</f>
        <v/>
      </c>
      <c r="K28" s="41">
        <f>IF(N(C28)=0,"",J28*8%)</f>
        <v/>
      </c>
      <c r="L28" s="41">
        <f>IF(N(C28)=0,"",J28*IF(J28&lt;4*Parámetros!$C$9,0,IF(J28&lt;16*Parámetros!$C$9,1%,IF(J28&lt;17*Parámetros!$C$9,1.2%,IF(J28&lt;18*Parámetros!$C$9,1.4%,IF(J28&lt;19*Parámetros!$C$9,1.6%,IF(J28&lt;20*Parámetros!$C$9,1.8%,2%)))))))</f>
        <v/>
      </c>
      <c r="M28" s="41">
        <f>IF(N(C28)=0,"",I28-K28-L28)</f>
        <v/>
      </c>
      <c r="N28" s="41">
        <f>IF(N(C28)=0,"",IF(E28="Sí",MIN(I28*10%,32*Parámetros!$C$8),0)+MIN(N(F28),100*Parámetros!$C$8)+MIN(N(G28),16*Parámetros!$C$8)+MIN(N(H28),I28*30%,3800*Parámetros!$C$8/12))</f>
        <v/>
      </c>
      <c r="O28" s="41">
        <f>IF(N(C28)=0,"",MIN(MAX(M28-N28,0)*25%,790*Parámetros!$C$8/12))</f>
        <v/>
      </c>
      <c r="P28" s="41">
        <f>IF(N(C28)=0,"",MIN(M28*40%,1340*Parámetros!$C$8/12))</f>
        <v/>
      </c>
      <c r="Q28" s="41">
        <f>IF(N(C28)=0,"",MAX(M28-MIN(N28+O28,P28),0))</f>
        <v/>
      </c>
      <c r="R28" s="42">
        <f>IF(N(C28)=0,"",Q28/Parámetros!$C$8)</f>
        <v/>
      </c>
      <c r="S28" s="43">
        <f>IF(N(C28)=0,"",IF(R28&lt;=95,0,(R28-VLOOKUP(R28,Parámetros!$B$13:$F$19,4,TRUE))*VLOOKUP(R28,Parámetros!$B$13:$F$19,3,TRUE)+VLOOKUP(R28,Parámetros!$B$13:$F$19,5,TRUE))*Parámetros!$C$8)</f>
        <v/>
      </c>
    </row>
    <row r="29">
      <c r="B29" s="35" t="n"/>
      <c r="C29" s="36" t="n"/>
      <c r="D29" s="36" t="n"/>
      <c r="E29" s="37" t="n"/>
      <c r="F29" s="36" t="n"/>
      <c r="G29" s="36" t="n"/>
      <c r="H29" s="36" t="n"/>
      <c r="I29" s="38">
        <f>IF(N(C29)=0,"",N(C29)+N(D29))</f>
        <v/>
      </c>
      <c r="J29" s="38">
        <f>IF(N(C29)=0,"",MIN(I29,25*Parámetros!$C$9))</f>
        <v/>
      </c>
      <c r="K29" s="38">
        <f>IF(N(C29)=0,"",J29*8%)</f>
        <v/>
      </c>
      <c r="L29" s="38">
        <f>IF(N(C29)=0,"",J29*IF(J29&lt;4*Parámetros!$C$9,0,IF(J29&lt;16*Parámetros!$C$9,1%,IF(J29&lt;17*Parámetros!$C$9,1.2%,IF(J29&lt;18*Parámetros!$C$9,1.4%,IF(J29&lt;19*Parámetros!$C$9,1.6%,IF(J29&lt;20*Parámetros!$C$9,1.8%,2%)))))))</f>
        <v/>
      </c>
      <c r="M29" s="38">
        <f>IF(N(C29)=0,"",I29-K29-L29)</f>
        <v/>
      </c>
      <c r="N29" s="38">
        <f>IF(N(C29)=0,"",IF(E29="Sí",MIN(I29*10%,32*Parámetros!$C$8),0)+MIN(N(F29),100*Parámetros!$C$8)+MIN(N(G29),16*Parámetros!$C$8)+MIN(N(H29),I29*30%,3800*Parámetros!$C$8/12))</f>
        <v/>
      </c>
      <c r="O29" s="38">
        <f>IF(N(C29)=0,"",MIN(MAX(M29-N29,0)*25%,790*Parámetros!$C$8/12))</f>
        <v/>
      </c>
      <c r="P29" s="38">
        <f>IF(N(C29)=0,"",MIN(M29*40%,1340*Parámetros!$C$8/12))</f>
        <v/>
      </c>
      <c r="Q29" s="38">
        <f>IF(N(C29)=0,"",MAX(M29-MIN(N29+O29,P29),0))</f>
        <v/>
      </c>
      <c r="R29" s="39">
        <f>IF(N(C29)=0,"",Q29/Parámetros!$C$8)</f>
        <v/>
      </c>
      <c r="S29" s="40">
        <f>IF(N(C29)=0,"",IF(R29&lt;=95,0,(R29-VLOOKUP(R29,Parámetros!$B$13:$F$19,4,TRUE))*VLOOKUP(R29,Parámetros!$B$13:$F$19,3,TRUE)+VLOOKUP(R29,Parámetros!$B$13:$F$19,5,TRUE))*Parámetros!$C$8)</f>
        <v/>
      </c>
    </row>
    <row r="30">
      <c r="B30" s="35" t="n"/>
      <c r="C30" s="36" t="n"/>
      <c r="D30" s="36" t="n"/>
      <c r="E30" s="37" t="n"/>
      <c r="F30" s="36" t="n"/>
      <c r="G30" s="36" t="n"/>
      <c r="H30" s="36" t="n"/>
      <c r="I30" s="41">
        <f>IF(N(C30)=0,"",N(C30)+N(D30))</f>
        <v/>
      </c>
      <c r="J30" s="41">
        <f>IF(N(C30)=0,"",MIN(I30,25*Parámetros!$C$9))</f>
        <v/>
      </c>
      <c r="K30" s="41">
        <f>IF(N(C30)=0,"",J30*8%)</f>
        <v/>
      </c>
      <c r="L30" s="41">
        <f>IF(N(C30)=0,"",J30*IF(J30&lt;4*Parámetros!$C$9,0,IF(J30&lt;16*Parámetros!$C$9,1%,IF(J30&lt;17*Parámetros!$C$9,1.2%,IF(J30&lt;18*Parámetros!$C$9,1.4%,IF(J30&lt;19*Parámetros!$C$9,1.6%,IF(J30&lt;20*Parámetros!$C$9,1.8%,2%)))))))</f>
        <v/>
      </c>
      <c r="M30" s="41">
        <f>IF(N(C30)=0,"",I30-K30-L30)</f>
        <v/>
      </c>
      <c r="N30" s="41">
        <f>IF(N(C30)=0,"",IF(E30="Sí",MIN(I30*10%,32*Parámetros!$C$8),0)+MIN(N(F30),100*Parámetros!$C$8)+MIN(N(G30),16*Parámetros!$C$8)+MIN(N(H30),I30*30%,3800*Parámetros!$C$8/12))</f>
        <v/>
      </c>
      <c r="O30" s="41">
        <f>IF(N(C30)=0,"",MIN(MAX(M30-N30,0)*25%,790*Parámetros!$C$8/12))</f>
        <v/>
      </c>
      <c r="P30" s="41">
        <f>IF(N(C30)=0,"",MIN(M30*40%,1340*Parámetros!$C$8/12))</f>
        <v/>
      </c>
      <c r="Q30" s="41">
        <f>IF(N(C30)=0,"",MAX(M30-MIN(N30+O30,P30),0))</f>
        <v/>
      </c>
      <c r="R30" s="42">
        <f>IF(N(C30)=0,"",Q30/Parámetros!$C$8)</f>
        <v/>
      </c>
      <c r="S30" s="43">
        <f>IF(N(C30)=0,"",IF(R30&lt;=95,0,(R30-VLOOKUP(R30,Parámetros!$B$13:$F$19,4,TRUE))*VLOOKUP(R30,Parámetros!$B$13:$F$19,3,TRUE)+VLOOKUP(R30,Parámetros!$B$13:$F$19,5,TRUE))*Parámetros!$C$8)</f>
        <v/>
      </c>
    </row>
    <row r="31">
      <c r="B31" s="35" t="n"/>
      <c r="C31" s="36" t="n"/>
      <c r="D31" s="36" t="n"/>
      <c r="E31" s="37" t="n"/>
      <c r="F31" s="36" t="n"/>
      <c r="G31" s="36" t="n"/>
      <c r="H31" s="36" t="n"/>
      <c r="I31" s="38">
        <f>IF(N(C31)=0,"",N(C31)+N(D31))</f>
        <v/>
      </c>
      <c r="J31" s="38">
        <f>IF(N(C31)=0,"",MIN(I31,25*Parámetros!$C$9))</f>
        <v/>
      </c>
      <c r="K31" s="38">
        <f>IF(N(C31)=0,"",J31*8%)</f>
        <v/>
      </c>
      <c r="L31" s="38">
        <f>IF(N(C31)=0,"",J31*IF(J31&lt;4*Parámetros!$C$9,0,IF(J31&lt;16*Parámetros!$C$9,1%,IF(J31&lt;17*Parámetros!$C$9,1.2%,IF(J31&lt;18*Parámetros!$C$9,1.4%,IF(J31&lt;19*Parámetros!$C$9,1.6%,IF(J31&lt;20*Parámetros!$C$9,1.8%,2%)))))))</f>
        <v/>
      </c>
      <c r="M31" s="38">
        <f>IF(N(C31)=0,"",I31-K31-L31)</f>
        <v/>
      </c>
      <c r="N31" s="38">
        <f>IF(N(C31)=0,"",IF(E31="Sí",MIN(I31*10%,32*Parámetros!$C$8),0)+MIN(N(F31),100*Parámetros!$C$8)+MIN(N(G31),16*Parámetros!$C$8)+MIN(N(H31),I31*30%,3800*Parámetros!$C$8/12))</f>
        <v/>
      </c>
      <c r="O31" s="38">
        <f>IF(N(C31)=0,"",MIN(MAX(M31-N31,0)*25%,790*Parámetros!$C$8/12))</f>
        <v/>
      </c>
      <c r="P31" s="38">
        <f>IF(N(C31)=0,"",MIN(M31*40%,1340*Parámetros!$C$8/12))</f>
        <v/>
      </c>
      <c r="Q31" s="38">
        <f>IF(N(C31)=0,"",MAX(M31-MIN(N31+O31,P31),0))</f>
        <v/>
      </c>
      <c r="R31" s="39">
        <f>IF(N(C31)=0,"",Q31/Parámetros!$C$8)</f>
        <v/>
      </c>
      <c r="S31" s="40">
        <f>IF(N(C31)=0,"",IF(R31&lt;=95,0,(R31-VLOOKUP(R31,Parámetros!$B$13:$F$19,4,TRUE))*VLOOKUP(R31,Parámetros!$B$13:$F$19,3,TRUE)+VLOOKUP(R31,Parámetros!$B$13:$F$19,5,TRUE))*Parámetros!$C$8)</f>
        <v/>
      </c>
    </row>
    <row r="32">
      <c r="B32" s="35" t="n"/>
      <c r="C32" s="36" t="n"/>
      <c r="D32" s="36" t="n"/>
      <c r="E32" s="37" t="n"/>
      <c r="F32" s="36" t="n"/>
      <c r="G32" s="36" t="n"/>
      <c r="H32" s="36" t="n"/>
      <c r="I32" s="41">
        <f>IF(N(C32)=0,"",N(C32)+N(D32))</f>
        <v/>
      </c>
      <c r="J32" s="41">
        <f>IF(N(C32)=0,"",MIN(I32,25*Parámetros!$C$9))</f>
        <v/>
      </c>
      <c r="K32" s="41">
        <f>IF(N(C32)=0,"",J32*8%)</f>
        <v/>
      </c>
      <c r="L32" s="41">
        <f>IF(N(C32)=0,"",J32*IF(J32&lt;4*Parámetros!$C$9,0,IF(J32&lt;16*Parámetros!$C$9,1%,IF(J32&lt;17*Parámetros!$C$9,1.2%,IF(J32&lt;18*Parámetros!$C$9,1.4%,IF(J32&lt;19*Parámetros!$C$9,1.6%,IF(J32&lt;20*Parámetros!$C$9,1.8%,2%)))))))</f>
        <v/>
      </c>
      <c r="M32" s="41">
        <f>IF(N(C32)=0,"",I32-K32-L32)</f>
        <v/>
      </c>
      <c r="N32" s="41">
        <f>IF(N(C32)=0,"",IF(E32="Sí",MIN(I32*10%,32*Parámetros!$C$8),0)+MIN(N(F32),100*Parámetros!$C$8)+MIN(N(G32),16*Parámetros!$C$8)+MIN(N(H32),I32*30%,3800*Parámetros!$C$8/12))</f>
        <v/>
      </c>
      <c r="O32" s="41">
        <f>IF(N(C32)=0,"",MIN(MAX(M32-N32,0)*25%,790*Parámetros!$C$8/12))</f>
        <v/>
      </c>
      <c r="P32" s="41">
        <f>IF(N(C32)=0,"",MIN(M32*40%,1340*Parámetros!$C$8/12))</f>
        <v/>
      </c>
      <c r="Q32" s="41">
        <f>IF(N(C32)=0,"",MAX(M32-MIN(N32+O32,P32),0))</f>
        <v/>
      </c>
      <c r="R32" s="42">
        <f>IF(N(C32)=0,"",Q32/Parámetros!$C$8)</f>
        <v/>
      </c>
      <c r="S32" s="43">
        <f>IF(N(C32)=0,"",IF(R32&lt;=95,0,(R32-VLOOKUP(R32,Parámetros!$B$13:$F$19,4,TRUE))*VLOOKUP(R32,Parámetros!$B$13:$F$19,3,TRUE)+VLOOKUP(R32,Parámetros!$B$13:$F$19,5,TRUE))*Parámetros!$C$8)</f>
        <v/>
      </c>
    </row>
    <row r="33">
      <c r="B33" s="35" t="n"/>
      <c r="C33" s="36" t="n"/>
      <c r="D33" s="36" t="n"/>
      <c r="E33" s="37" t="n"/>
      <c r="F33" s="36" t="n"/>
      <c r="G33" s="36" t="n"/>
      <c r="H33" s="36" t="n"/>
      <c r="I33" s="38">
        <f>IF(N(C33)=0,"",N(C33)+N(D33))</f>
        <v/>
      </c>
      <c r="J33" s="38">
        <f>IF(N(C33)=0,"",MIN(I33,25*Parámetros!$C$9))</f>
        <v/>
      </c>
      <c r="K33" s="38">
        <f>IF(N(C33)=0,"",J33*8%)</f>
        <v/>
      </c>
      <c r="L33" s="38">
        <f>IF(N(C33)=0,"",J33*IF(J33&lt;4*Parámetros!$C$9,0,IF(J33&lt;16*Parámetros!$C$9,1%,IF(J33&lt;17*Parámetros!$C$9,1.2%,IF(J33&lt;18*Parámetros!$C$9,1.4%,IF(J33&lt;19*Parámetros!$C$9,1.6%,IF(J33&lt;20*Parámetros!$C$9,1.8%,2%)))))))</f>
        <v/>
      </c>
      <c r="M33" s="38">
        <f>IF(N(C33)=0,"",I33-K33-L33)</f>
        <v/>
      </c>
      <c r="N33" s="38">
        <f>IF(N(C33)=0,"",IF(E33="Sí",MIN(I33*10%,32*Parámetros!$C$8),0)+MIN(N(F33),100*Parámetros!$C$8)+MIN(N(G33),16*Parámetros!$C$8)+MIN(N(H33),I33*30%,3800*Parámetros!$C$8/12))</f>
        <v/>
      </c>
      <c r="O33" s="38">
        <f>IF(N(C33)=0,"",MIN(MAX(M33-N33,0)*25%,790*Parámetros!$C$8/12))</f>
        <v/>
      </c>
      <c r="P33" s="38">
        <f>IF(N(C33)=0,"",MIN(M33*40%,1340*Parámetros!$C$8/12))</f>
        <v/>
      </c>
      <c r="Q33" s="38">
        <f>IF(N(C33)=0,"",MAX(M33-MIN(N33+O33,P33),0))</f>
        <v/>
      </c>
      <c r="R33" s="39">
        <f>IF(N(C33)=0,"",Q33/Parámetros!$C$8)</f>
        <v/>
      </c>
      <c r="S33" s="40">
        <f>IF(N(C33)=0,"",IF(R33&lt;=95,0,(R33-VLOOKUP(R33,Parámetros!$B$13:$F$19,4,TRUE))*VLOOKUP(R33,Parámetros!$B$13:$F$19,3,TRUE)+VLOOKUP(R33,Parámetros!$B$13:$F$19,5,TRUE))*Parámetros!$C$8)</f>
        <v/>
      </c>
    </row>
    <row r="34">
      <c r="B34" s="35" t="n"/>
      <c r="C34" s="36" t="n"/>
      <c r="D34" s="36" t="n"/>
      <c r="E34" s="37" t="n"/>
      <c r="F34" s="36" t="n"/>
      <c r="G34" s="36" t="n"/>
      <c r="H34" s="36" t="n"/>
      <c r="I34" s="41">
        <f>IF(N(C34)=0,"",N(C34)+N(D34))</f>
        <v/>
      </c>
      <c r="J34" s="41">
        <f>IF(N(C34)=0,"",MIN(I34,25*Parámetros!$C$9))</f>
        <v/>
      </c>
      <c r="K34" s="41">
        <f>IF(N(C34)=0,"",J34*8%)</f>
        <v/>
      </c>
      <c r="L34" s="41">
        <f>IF(N(C34)=0,"",J34*IF(J34&lt;4*Parámetros!$C$9,0,IF(J34&lt;16*Parámetros!$C$9,1%,IF(J34&lt;17*Parámetros!$C$9,1.2%,IF(J34&lt;18*Parámetros!$C$9,1.4%,IF(J34&lt;19*Parámetros!$C$9,1.6%,IF(J34&lt;20*Parámetros!$C$9,1.8%,2%)))))))</f>
        <v/>
      </c>
      <c r="M34" s="41">
        <f>IF(N(C34)=0,"",I34-K34-L34)</f>
        <v/>
      </c>
      <c r="N34" s="41">
        <f>IF(N(C34)=0,"",IF(E34="Sí",MIN(I34*10%,32*Parámetros!$C$8),0)+MIN(N(F34),100*Parámetros!$C$8)+MIN(N(G34),16*Parámetros!$C$8)+MIN(N(H34),I34*30%,3800*Parámetros!$C$8/12))</f>
        <v/>
      </c>
      <c r="O34" s="41">
        <f>IF(N(C34)=0,"",MIN(MAX(M34-N34,0)*25%,790*Parámetros!$C$8/12))</f>
        <v/>
      </c>
      <c r="P34" s="41">
        <f>IF(N(C34)=0,"",MIN(M34*40%,1340*Parámetros!$C$8/12))</f>
        <v/>
      </c>
      <c r="Q34" s="41">
        <f>IF(N(C34)=0,"",MAX(M34-MIN(N34+O34,P34),0))</f>
        <v/>
      </c>
      <c r="R34" s="42">
        <f>IF(N(C34)=0,"",Q34/Parámetros!$C$8)</f>
        <v/>
      </c>
      <c r="S34" s="43">
        <f>IF(N(C34)=0,"",IF(R34&lt;=95,0,(R34-VLOOKUP(R34,Parámetros!$B$13:$F$19,4,TRUE))*VLOOKUP(R34,Parámetros!$B$13:$F$19,3,TRUE)+VLOOKUP(R34,Parámetros!$B$13:$F$19,5,TRUE))*Parámetros!$C$8)</f>
        <v/>
      </c>
    </row>
    <row r="35">
      <c r="B35" s="35" t="n"/>
      <c r="C35" s="36" t="n"/>
      <c r="D35" s="36" t="n"/>
      <c r="E35" s="37" t="n"/>
      <c r="F35" s="36" t="n"/>
      <c r="G35" s="36" t="n"/>
      <c r="H35" s="36" t="n"/>
      <c r="I35" s="38">
        <f>IF(N(C35)=0,"",N(C35)+N(D35))</f>
        <v/>
      </c>
      <c r="J35" s="38">
        <f>IF(N(C35)=0,"",MIN(I35,25*Parámetros!$C$9))</f>
        <v/>
      </c>
      <c r="K35" s="38">
        <f>IF(N(C35)=0,"",J35*8%)</f>
        <v/>
      </c>
      <c r="L35" s="38">
        <f>IF(N(C35)=0,"",J35*IF(J35&lt;4*Parámetros!$C$9,0,IF(J35&lt;16*Parámetros!$C$9,1%,IF(J35&lt;17*Parámetros!$C$9,1.2%,IF(J35&lt;18*Parámetros!$C$9,1.4%,IF(J35&lt;19*Parámetros!$C$9,1.6%,IF(J35&lt;20*Parámetros!$C$9,1.8%,2%)))))))</f>
        <v/>
      </c>
      <c r="M35" s="38">
        <f>IF(N(C35)=0,"",I35-K35-L35)</f>
        <v/>
      </c>
      <c r="N35" s="38">
        <f>IF(N(C35)=0,"",IF(E35="Sí",MIN(I35*10%,32*Parámetros!$C$8),0)+MIN(N(F35),100*Parámetros!$C$8)+MIN(N(G35),16*Parámetros!$C$8)+MIN(N(H35),I35*30%,3800*Parámetros!$C$8/12))</f>
        <v/>
      </c>
      <c r="O35" s="38">
        <f>IF(N(C35)=0,"",MIN(MAX(M35-N35,0)*25%,790*Parámetros!$C$8/12))</f>
        <v/>
      </c>
      <c r="P35" s="38">
        <f>IF(N(C35)=0,"",MIN(M35*40%,1340*Parámetros!$C$8/12))</f>
        <v/>
      </c>
      <c r="Q35" s="38">
        <f>IF(N(C35)=0,"",MAX(M35-MIN(N35+O35,P35),0))</f>
        <v/>
      </c>
      <c r="R35" s="39">
        <f>IF(N(C35)=0,"",Q35/Parámetros!$C$8)</f>
        <v/>
      </c>
      <c r="S35" s="40">
        <f>IF(N(C35)=0,"",IF(R35&lt;=95,0,(R35-VLOOKUP(R35,Parámetros!$B$13:$F$19,4,TRUE))*VLOOKUP(R35,Parámetros!$B$13:$F$19,3,TRUE)+VLOOKUP(R35,Parámetros!$B$13:$F$19,5,TRUE))*Parámetros!$C$8)</f>
        <v/>
      </c>
    </row>
    <row r="36">
      <c r="B36" s="35" t="n"/>
      <c r="C36" s="36" t="n"/>
      <c r="D36" s="36" t="n"/>
      <c r="E36" s="37" t="n"/>
      <c r="F36" s="36" t="n"/>
      <c r="G36" s="36" t="n"/>
      <c r="H36" s="36" t="n"/>
      <c r="I36" s="41">
        <f>IF(N(C36)=0,"",N(C36)+N(D36))</f>
        <v/>
      </c>
      <c r="J36" s="41">
        <f>IF(N(C36)=0,"",MIN(I36,25*Parámetros!$C$9))</f>
        <v/>
      </c>
      <c r="K36" s="41">
        <f>IF(N(C36)=0,"",J36*8%)</f>
        <v/>
      </c>
      <c r="L36" s="41">
        <f>IF(N(C36)=0,"",J36*IF(J36&lt;4*Parámetros!$C$9,0,IF(J36&lt;16*Parámetros!$C$9,1%,IF(J36&lt;17*Parámetros!$C$9,1.2%,IF(J36&lt;18*Parámetros!$C$9,1.4%,IF(J36&lt;19*Parámetros!$C$9,1.6%,IF(J36&lt;20*Parámetros!$C$9,1.8%,2%)))))))</f>
        <v/>
      </c>
      <c r="M36" s="41">
        <f>IF(N(C36)=0,"",I36-K36-L36)</f>
        <v/>
      </c>
      <c r="N36" s="41">
        <f>IF(N(C36)=0,"",IF(E36="Sí",MIN(I36*10%,32*Parámetros!$C$8),0)+MIN(N(F36),100*Parámetros!$C$8)+MIN(N(G36),16*Parámetros!$C$8)+MIN(N(H36),I36*30%,3800*Parámetros!$C$8/12))</f>
        <v/>
      </c>
      <c r="O36" s="41">
        <f>IF(N(C36)=0,"",MIN(MAX(M36-N36,0)*25%,790*Parámetros!$C$8/12))</f>
        <v/>
      </c>
      <c r="P36" s="41">
        <f>IF(N(C36)=0,"",MIN(M36*40%,1340*Parámetros!$C$8/12))</f>
        <v/>
      </c>
      <c r="Q36" s="41">
        <f>IF(N(C36)=0,"",MAX(M36-MIN(N36+O36,P36),0))</f>
        <v/>
      </c>
      <c r="R36" s="42">
        <f>IF(N(C36)=0,"",Q36/Parámetros!$C$8)</f>
        <v/>
      </c>
      <c r="S36" s="43">
        <f>IF(N(C36)=0,"",IF(R36&lt;=95,0,(R36-VLOOKUP(R36,Parámetros!$B$13:$F$19,4,TRUE))*VLOOKUP(R36,Parámetros!$B$13:$F$19,3,TRUE)+VLOOKUP(R36,Parámetros!$B$13:$F$19,5,TRUE))*Parámetros!$C$8)</f>
        <v/>
      </c>
    </row>
    <row r="37">
      <c r="B37" s="35" t="n"/>
      <c r="C37" s="36" t="n"/>
      <c r="D37" s="36" t="n"/>
      <c r="E37" s="37" t="n"/>
      <c r="F37" s="36" t="n"/>
      <c r="G37" s="36" t="n"/>
      <c r="H37" s="36" t="n"/>
      <c r="I37" s="38">
        <f>IF(N(C37)=0,"",N(C37)+N(D37))</f>
        <v/>
      </c>
      <c r="J37" s="38">
        <f>IF(N(C37)=0,"",MIN(I37,25*Parámetros!$C$9))</f>
        <v/>
      </c>
      <c r="K37" s="38">
        <f>IF(N(C37)=0,"",J37*8%)</f>
        <v/>
      </c>
      <c r="L37" s="38">
        <f>IF(N(C37)=0,"",J37*IF(J37&lt;4*Parámetros!$C$9,0,IF(J37&lt;16*Parámetros!$C$9,1%,IF(J37&lt;17*Parámetros!$C$9,1.2%,IF(J37&lt;18*Parámetros!$C$9,1.4%,IF(J37&lt;19*Parámetros!$C$9,1.6%,IF(J37&lt;20*Parámetros!$C$9,1.8%,2%)))))))</f>
        <v/>
      </c>
      <c r="M37" s="38">
        <f>IF(N(C37)=0,"",I37-K37-L37)</f>
        <v/>
      </c>
      <c r="N37" s="38">
        <f>IF(N(C37)=0,"",IF(E37="Sí",MIN(I37*10%,32*Parámetros!$C$8),0)+MIN(N(F37),100*Parámetros!$C$8)+MIN(N(G37),16*Parámetros!$C$8)+MIN(N(H37),I37*30%,3800*Parámetros!$C$8/12))</f>
        <v/>
      </c>
      <c r="O37" s="38">
        <f>IF(N(C37)=0,"",MIN(MAX(M37-N37,0)*25%,790*Parámetros!$C$8/12))</f>
        <v/>
      </c>
      <c r="P37" s="38">
        <f>IF(N(C37)=0,"",MIN(M37*40%,1340*Parámetros!$C$8/12))</f>
        <v/>
      </c>
      <c r="Q37" s="38">
        <f>IF(N(C37)=0,"",MAX(M37-MIN(N37+O37,P37),0))</f>
        <v/>
      </c>
      <c r="R37" s="39">
        <f>IF(N(C37)=0,"",Q37/Parámetros!$C$8)</f>
        <v/>
      </c>
      <c r="S37" s="40">
        <f>IF(N(C37)=0,"",IF(R37&lt;=95,0,(R37-VLOOKUP(R37,Parámetros!$B$13:$F$19,4,TRUE))*VLOOKUP(R37,Parámetros!$B$13:$F$19,3,TRUE)+VLOOKUP(R37,Parámetros!$B$13:$F$19,5,TRUE))*Parámetros!$C$8)</f>
        <v/>
      </c>
    </row>
    <row r="38">
      <c r="B38" s="35" t="n"/>
      <c r="C38" s="36" t="n"/>
      <c r="D38" s="36" t="n"/>
      <c r="E38" s="37" t="n"/>
      <c r="F38" s="36" t="n"/>
      <c r="G38" s="36" t="n"/>
      <c r="H38" s="36" t="n"/>
      <c r="I38" s="41">
        <f>IF(N(C38)=0,"",N(C38)+N(D38))</f>
        <v/>
      </c>
      <c r="J38" s="41">
        <f>IF(N(C38)=0,"",MIN(I38,25*Parámetros!$C$9))</f>
        <v/>
      </c>
      <c r="K38" s="41">
        <f>IF(N(C38)=0,"",J38*8%)</f>
        <v/>
      </c>
      <c r="L38" s="41">
        <f>IF(N(C38)=0,"",J38*IF(J38&lt;4*Parámetros!$C$9,0,IF(J38&lt;16*Parámetros!$C$9,1%,IF(J38&lt;17*Parámetros!$C$9,1.2%,IF(J38&lt;18*Parámetros!$C$9,1.4%,IF(J38&lt;19*Parámetros!$C$9,1.6%,IF(J38&lt;20*Parámetros!$C$9,1.8%,2%)))))))</f>
        <v/>
      </c>
      <c r="M38" s="41">
        <f>IF(N(C38)=0,"",I38-K38-L38)</f>
        <v/>
      </c>
      <c r="N38" s="41">
        <f>IF(N(C38)=0,"",IF(E38="Sí",MIN(I38*10%,32*Parámetros!$C$8),0)+MIN(N(F38),100*Parámetros!$C$8)+MIN(N(G38),16*Parámetros!$C$8)+MIN(N(H38),I38*30%,3800*Parámetros!$C$8/12))</f>
        <v/>
      </c>
      <c r="O38" s="41">
        <f>IF(N(C38)=0,"",MIN(MAX(M38-N38,0)*25%,790*Parámetros!$C$8/12))</f>
        <v/>
      </c>
      <c r="P38" s="41">
        <f>IF(N(C38)=0,"",MIN(M38*40%,1340*Parámetros!$C$8/12))</f>
        <v/>
      </c>
      <c r="Q38" s="41">
        <f>IF(N(C38)=0,"",MAX(M38-MIN(N38+O38,P38),0))</f>
        <v/>
      </c>
      <c r="R38" s="42">
        <f>IF(N(C38)=0,"",Q38/Parámetros!$C$8)</f>
        <v/>
      </c>
      <c r="S38" s="43">
        <f>IF(N(C38)=0,"",IF(R38&lt;=95,0,(R38-VLOOKUP(R38,Parámetros!$B$13:$F$19,4,TRUE))*VLOOKUP(R38,Parámetros!$B$13:$F$19,3,TRUE)+VLOOKUP(R38,Parámetros!$B$13:$F$19,5,TRUE))*Parámetros!$C$8)</f>
        <v/>
      </c>
    </row>
    <row r="39">
      <c r="B39" s="35" t="n"/>
      <c r="C39" s="36" t="n"/>
      <c r="D39" s="36" t="n"/>
      <c r="E39" s="37" t="n"/>
      <c r="F39" s="36" t="n"/>
      <c r="G39" s="36" t="n"/>
      <c r="H39" s="36" t="n"/>
      <c r="I39" s="38">
        <f>IF(N(C39)=0,"",N(C39)+N(D39))</f>
        <v/>
      </c>
      <c r="J39" s="38">
        <f>IF(N(C39)=0,"",MIN(I39,25*Parámetros!$C$9))</f>
        <v/>
      </c>
      <c r="K39" s="38">
        <f>IF(N(C39)=0,"",J39*8%)</f>
        <v/>
      </c>
      <c r="L39" s="38">
        <f>IF(N(C39)=0,"",J39*IF(J39&lt;4*Parámetros!$C$9,0,IF(J39&lt;16*Parámetros!$C$9,1%,IF(J39&lt;17*Parámetros!$C$9,1.2%,IF(J39&lt;18*Parámetros!$C$9,1.4%,IF(J39&lt;19*Parámetros!$C$9,1.6%,IF(J39&lt;20*Parámetros!$C$9,1.8%,2%)))))))</f>
        <v/>
      </c>
      <c r="M39" s="38">
        <f>IF(N(C39)=0,"",I39-K39-L39)</f>
        <v/>
      </c>
      <c r="N39" s="38">
        <f>IF(N(C39)=0,"",IF(E39="Sí",MIN(I39*10%,32*Parámetros!$C$8),0)+MIN(N(F39),100*Parámetros!$C$8)+MIN(N(G39),16*Parámetros!$C$8)+MIN(N(H39),I39*30%,3800*Parámetros!$C$8/12))</f>
        <v/>
      </c>
      <c r="O39" s="38">
        <f>IF(N(C39)=0,"",MIN(MAX(M39-N39,0)*25%,790*Parámetros!$C$8/12))</f>
        <v/>
      </c>
      <c r="P39" s="38">
        <f>IF(N(C39)=0,"",MIN(M39*40%,1340*Parámetros!$C$8/12))</f>
        <v/>
      </c>
      <c r="Q39" s="38">
        <f>IF(N(C39)=0,"",MAX(M39-MIN(N39+O39,P39),0))</f>
        <v/>
      </c>
      <c r="R39" s="39">
        <f>IF(N(C39)=0,"",Q39/Parámetros!$C$8)</f>
        <v/>
      </c>
      <c r="S39" s="40">
        <f>IF(N(C39)=0,"",IF(R39&lt;=95,0,(R39-VLOOKUP(R39,Parámetros!$B$13:$F$19,4,TRUE))*VLOOKUP(R39,Parámetros!$B$13:$F$19,3,TRUE)+VLOOKUP(R39,Parámetros!$B$13:$F$19,5,TRUE))*Parámetros!$C$8)</f>
        <v/>
      </c>
    </row>
    <row r="40">
      <c r="B40" s="35" t="n"/>
      <c r="C40" s="36" t="n"/>
      <c r="D40" s="36" t="n"/>
      <c r="E40" s="37" t="n"/>
      <c r="F40" s="36" t="n"/>
      <c r="G40" s="36" t="n"/>
      <c r="H40" s="36" t="n"/>
      <c r="I40" s="41">
        <f>IF(N(C40)=0,"",N(C40)+N(D40))</f>
        <v/>
      </c>
      <c r="J40" s="41">
        <f>IF(N(C40)=0,"",MIN(I40,25*Parámetros!$C$9))</f>
        <v/>
      </c>
      <c r="K40" s="41">
        <f>IF(N(C40)=0,"",J40*8%)</f>
        <v/>
      </c>
      <c r="L40" s="41">
        <f>IF(N(C40)=0,"",J40*IF(J40&lt;4*Parámetros!$C$9,0,IF(J40&lt;16*Parámetros!$C$9,1%,IF(J40&lt;17*Parámetros!$C$9,1.2%,IF(J40&lt;18*Parámetros!$C$9,1.4%,IF(J40&lt;19*Parámetros!$C$9,1.6%,IF(J40&lt;20*Parámetros!$C$9,1.8%,2%)))))))</f>
        <v/>
      </c>
      <c r="M40" s="41">
        <f>IF(N(C40)=0,"",I40-K40-L40)</f>
        <v/>
      </c>
      <c r="N40" s="41">
        <f>IF(N(C40)=0,"",IF(E40="Sí",MIN(I40*10%,32*Parámetros!$C$8),0)+MIN(N(F40),100*Parámetros!$C$8)+MIN(N(G40),16*Parámetros!$C$8)+MIN(N(H40),I40*30%,3800*Parámetros!$C$8/12))</f>
        <v/>
      </c>
      <c r="O40" s="41">
        <f>IF(N(C40)=0,"",MIN(MAX(M40-N40,0)*25%,790*Parámetros!$C$8/12))</f>
        <v/>
      </c>
      <c r="P40" s="41">
        <f>IF(N(C40)=0,"",MIN(M40*40%,1340*Parámetros!$C$8/12))</f>
        <v/>
      </c>
      <c r="Q40" s="41">
        <f>IF(N(C40)=0,"",MAX(M40-MIN(N40+O40,P40),0))</f>
        <v/>
      </c>
      <c r="R40" s="42">
        <f>IF(N(C40)=0,"",Q40/Parámetros!$C$8)</f>
        <v/>
      </c>
      <c r="S40" s="43">
        <f>IF(N(C40)=0,"",IF(R40&lt;=95,0,(R40-VLOOKUP(R40,Parámetros!$B$13:$F$19,4,TRUE))*VLOOKUP(R40,Parámetros!$B$13:$F$19,3,TRUE)+VLOOKUP(R40,Parámetros!$B$13:$F$19,5,TRUE))*Parámetros!$C$8)</f>
        <v/>
      </c>
    </row>
    <row r="41" ht="24" customHeight="1">
      <c r="B41" s="44" t="inlineStr">
        <is>
          <t>Totales</t>
        </is>
      </c>
      <c r="C41" s="45">
        <f>SUM(C11:C40)</f>
        <v/>
      </c>
      <c r="D41" s="45">
        <f>SUM(D11:D40)</f>
        <v/>
      </c>
      <c r="E41" s="44" t="n"/>
      <c r="F41" s="45">
        <f>SUM(F11:F40)</f>
        <v/>
      </c>
      <c r="G41" s="45">
        <f>SUM(G11:G40)</f>
        <v/>
      </c>
      <c r="H41" s="45">
        <f>SUM(H11:H40)</f>
        <v/>
      </c>
      <c r="I41" s="45">
        <f>SUM(I11:I40)</f>
        <v/>
      </c>
      <c r="J41" s="44" t="n"/>
      <c r="K41" s="45">
        <f>SUM(K11:K40)</f>
        <v/>
      </c>
      <c r="L41" s="45">
        <f>SUM(L11:L40)</f>
        <v/>
      </c>
      <c r="M41" s="44" t="n"/>
      <c r="N41" s="45">
        <f>SUM(N11:N40)</f>
        <v/>
      </c>
      <c r="O41" s="44" t="n"/>
      <c r="P41" s="44" t="n"/>
      <c r="Q41" s="44" t="n"/>
      <c r="R41" s="44" t="n"/>
      <c r="S41" s="46">
        <f>SUM(S11:S40)</f>
        <v/>
      </c>
    </row>
    <row r="43" ht="28" customHeight="1">
      <c r="B43" s="25" t="inlineStr">
        <is>
          <t>Mismo cálculo de la hoja «Retención» (procedimiento 1). Deducciones = dependientes + vivienda + prepagada + AFC, con sus topes.</t>
        </is>
      </c>
    </row>
    <row r="45" ht="8" customHeight="1">
      <c r="A45" s="26" t="n"/>
      <c r="B45" s="26" t="n"/>
      <c r="C45" s="26" t="n"/>
      <c r="D45" s="26" t="n"/>
      <c r="E45" s="26" t="n"/>
      <c r="F45" s="26" t="n"/>
      <c r="G45" s="26" t="n"/>
      <c r="H45" s="26" t="n"/>
      <c r="I45" s="26" t="n"/>
      <c r="J45" s="26" t="n"/>
      <c r="K45" s="26" t="n"/>
      <c r="L45" s="26" t="n"/>
      <c r="M45" s="26" t="n"/>
      <c r="N45" s="26" t="n"/>
      <c r="O45" s="26" t="n"/>
      <c r="P45" s="26" t="n"/>
      <c r="Q45" s="26" t="n"/>
      <c r="R45" s="26" t="n"/>
      <c r="S45" s="26" t="n"/>
    </row>
    <row r="46">
      <c r="A46" s="27" t="n"/>
      <c r="B46" s="28" t="inlineStr">
        <is>
          <t>¿Prefieres que lo hagamos por ti?</t>
        </is>
      </c>
      <c r="C46" s="27" t="n"/>
      <c r="D46" s="27" t="n"/>
      <c r="E46" s="27" t="n"/>
      <c r="F46" s="27" t="n"/>
      <c r="G46" s="27" t="n"/>
      <c r="H46" s="27" t="n"/>
      <c r="I46" s="27" t="n"/>
      <c r="J46" s="27" t="n"/>
      <c r="K46" s="27" t="n"/>
      <c r="L46" s="27" t="n"/>
      <c r="M46" s="27" t="n"/>
      <c r="N46" s="27" t="n"/>
      <c r="O46" s="27" t="n"/>
      <c r="P46" s="27" t="n"/>
      <c r="Q46" s="27" t="n"/>
      <c r="R46" s="27" t="n"/>
      <c r="S46" s="27" t="n"/>
    </row>
    <row r="47">
      <c r="A47" s="27" t="n"/>
      <c r="B47" s="29" t="inlineStr">
        <is>
          <t>Contabilidad · Impuestos · Revisoría fiscal y auditoría · Nómina electrónica</t>
        </is>
      </c>
      <c r="C47" s="27" t="n"/>
      <c r="D47" s="27" t="n"/>
      <c r="E47" s="27" t="n"/>
      <c r="F47" s="27" t="n"/>
      <c r="G47" s="27" t="n"/>
      <c r="H47" s="27" t="n"/>
      <c r="I47" s="27" t="n"/>
      <c r="J47" s="27" t="n"/>
      <c r="K47" s="27" t="n"/>
      <c r="L47" s="27" t="n"/>
      <c r="M47" s="27" t="n"/>
      <c r="N47" s="27" t="n"/>
      <c r="O47" s="27" t="n"/>
      <c r="P47" s="27" t="n"/>
      <c r="Q47" s="27" t="n"/>
      <c r="R47" s="27" t="n"/>
      <c r="S47" s="27" t="n"/>
    </row>
    <row r="48">
      <c r="A48" s="27" t="n"/>
      <c r="B48" s="30" t="inlineStr">
        <is>
          <t>Escríbenos por WhatsApp: 300 507 4934</t>
        </is>
      </c>
      <c r="C48" s="27" t="n"/>
      <c r="D48" s="27" t="n"/>
      <c r="E48" s="27" t="n"/>
      <c r="F48" s="27" t="n"/>
      <c r="G48" s="27" t="n"/>
      <c r="H48" s="27" t="n"/>
      <c r="I48" s="27" t="n"/>
      <c r="J48" s="27" t="n"/>
      <c r="K48" s="27" t="n"/>
      <c r="L48" s="27" t="n"/>
      <c r="M48" s="27" t="n"/>
      <c r="N48" s="27" t="n"/>
      <c r="O48" s="27" t="n"/>
      <c r="P48" s="27" t="n"/>
      <c r="Q48" s="27" t="n"/>
      <c r="R48" s="27" t="n"/>
      <c r="S48" s="27" t="n"/>
    </row>
    <row r="49">
      <c r="A49" s="27" t="n"/>
      <c r="B49" s="30" t="inlineStr">
        <is>
          <t>Agenda una cita</t>
        </is>
      </c>
      <c r="C49" s="27" t="n"/>
      <c r="D49" s="27" t="n"/>
      <c r="E49" s="27" t="n"/>
      <c r="F49" s="27" t="n"/>
      <c r="G49" s="27" t="n"/>
      <c r="H49" s="27" t="n"/>
      <c r="I49" s="27" t="n"/>
      <c r="J49" s="27" t="n"/>
      <c r="K49" s="27" t="n"/>
      <c r="L49" s="27" t="n"/>
      <c r="M49" s="27" t="n"/>
      <c r="N49" s="27" t="n"/>
      <c r="O49" s="27" t="n"/>
      <c r="P49" s="27" t="n"/>
      <c r="Q49" s="27" t="n"/>
      <c r="R49" s="27" t="n"/>
      <c r="S49" s="27" t="n"/>
    </row>
    <row r="50">
      <c r="A50" s="27" t="n"/>
      <c r="B50" s="30" t="inlineStr">
        <is>
          <t>Calendario y calculadoras gratis: recursos.solucioncontableyfiscal.com</t>
        </is>
      </c>
      <c r="C50" s="27" t="n"/>
      <c r="D50" s="27" t="n"/>
      <c r="E50" s="27" t="n"/>
      <c r="F50" s="27" t="n"/>
      <c r="G50" s="27" t="n"/>
      <c r="H50" s="27" t="n"/>
      <c r="I50" s="27" t="n"/>
      <c r="J50" s="27" t="n"/>
      <c r="K50" s="27" t="n"/>
      <c r="L50" s="27" t="n"/>
      <c r="M50" s="27" t="n"/>
      <c r="N50" s="27" t="n"/>
      <c r="O50" s="27" t="n"/>
      <c r="P50" s="27" t="n"/>
      <c r="Q50" s="27" t="n"/>
      <c r="R50" s="27" t="n"/>
      <c r="S50" s="27" t="n"/>
    </row>
    <row r="51">
      <c r="A51" s="27" t="n"/>
      <c r="B51" s="30" t="inlineStr">
        <is>
          <t>Correo: solucontfisc@gmail.com</t>
        </is>
      </c>
      <c r="C51" s="27" t="n"/>
      <c r="D51" s="27" t="n"/>
      <c r="E51" s="27" t="n"/>
      <c r="F51" s="27" t="n"/>
      <c r="G51" s="27" t="n"/>
      <c r="H51" s="27" t="n"/>
      <c r="I51" s="27" t="n"/>
      <c r="J51" s="27" t="n"/>
      <c r="K51" s="27" t="n"/>
      <c r="L51" s="27" t="n"/>
      <c r="M51" s="27" t="n"/>
      <c r="N51" s="27" t="n"/>
      <c r="O51" s="27" t="n"/>
      <c r="P51" s="27" t="n"/>
      <c r="Q51" s="27" t="n"/>
      <c r="R51" s="27" t="n"/>
      <c r="S51" s="27" t="n"/>
    </row>
    <row r="52">
      <c r="A52" s="27" t="n"/>
      <c r="B52" s="31" t="inlineStr">
        <is>
          <t>SOLUCION CONTABLE Y FISCAL S.A.S. · Vía 40 #73-290, Edificio Mix, Oficina 612, Barranquilla · Atención virtual en toda Colombia</t>
        </is>
      </c>
      <c r="C52" s="27" t="n"/>
      <c r="D52" s="27" t="n"/>
      <c r="E52" s="27" t="n"/>
      <c r="F52" s="27" t="n"/>
      <c r="G52" s="27" t="n"/>
      <c r="H52" s="27" t="n"/>
      <c r="I52" s="27" t="n"/>
      <c r="J52" s="27" t="n"/>
      <c r="K52" s="27" t="n"/>
      <c r="L52" s="27" t="n"/>
      <c r="M52" s="27" t="n"/>
      <c r="N52" s="27" t="n"/>
      <c r="O52" s="27" t="n"/>
      <c r="P52" s="27" t="n"/>
      <c r="Q52" s="27" t="n"/>
      <c r="R52" s="27" t="n"/>
      <c r="S52" s="27" t="n"/>
    </row>
    <row r="53">
      <c r="A53" s="27" t="n"/>
      <c r="B53" s="32" t="inlineStr">
        <is>
          <t>Información de referencia; no reemplaza la asesoría profesional. Verifica tu caso particular con un contador.</t>
        </is>
      </c>
      <c r="C53" s="27" t="n"/>
      <c r="D53" s="27" t="n"/>
      <c r="E53" s="27" t="n"/>
      <c r="F53" s="27" t="n"/>
      <c r="G53" s="27" t="n"/>
      <c r="H53" s="27" t="n"/>
      <c r="I53" s="27" t="n"/>
      <c r="J53" s="27" t="n"/>
      <c r="K53" s="27" t="n"/>
      <c r="L53" s="27" t="n"/>
      <c r="M53" s="27" t="n"/>
      <c r="N53" s="27" t="n"/>
      <c r="O53" s="27" t="n"/>
      <c r="P53" s="27" t="n"/>
      <c r="Q53" s="27" t="n"/>
      <c r="R53" s="27" t="n"/>
      <c r="S53" s="27" t="n"/>
    </row>
    <row r="54" ht="8" customHeight="1">
      <c r="A54" s="27" t="n"/>
      <c r="B54" s="27" t="n"/>
      <c r="C54" s="27" t="n"/>
      <c r="D54" s="27" t="n"/>
      <c r="E54" s="27" t="n"/>
      <c r="F54" s="27" t="n"/>
      <c r="G54" s="27" t="n"/>
      <c r="H54" s="27" t="n"/>
      <c r="I54" s="27" t="n"/>
      <c r="J54" s="27" t="n"/>
      <c r="K54" s="27" t="n"/>
      <c r="L54" s="27" t="n"/>
      <c r="M54" s="27" t="n"/>
      <c r="N54" s="27" t="n"/>
      <c r="O54" s="27" t="n"/>
      <c r="P54" s="27" t="n"/>
      <c r="Q54" s="27" t="n"/>
      <c r="R54" s="27" t="n"/>
      <c r="S54" s="27" t="n"/>
    </row>
  </sheetData>
  <sheetProtection selectLockedCells="0" selectUnlockedCells="0" sheet="1" objects="0" insertRows="1" insertHyperlinks="1" autoFilter="0" scenarios="0" formatColumns="0" deleteColumns="1" insertColumns="1" pivotTables="1" deleteRows="1" formatCells="1" formatRows="0" sort="0"/>
  <mergeCells count="12">
    <mergeCell ref="B52:S52"/>
    <mergeCell ref="B48:S48"/>
    <mergeCell ref="B3:S3"/>
    <mergeCell ref="B2:S2"/>
    <mergeCell ref="B47:S47"/>
    <mergeCell ref="B50:S50"/>
    <mergeCell ref="B51:S51"/>
    <mergeCell ref="B53:S53"/>
    <mergeCell ref="B46:S46"/>
    <mergeCell ref="B49:S49"/>
    <mergeCell ref="B4:S4"/>
    <mergeCell ref="B43:S43"/>
  </mergeCells>
  <dataValidations count="1">
    <dataValidation sqref="E11:E40" showDropDown="0" showInputMessage="0" showErrorMessage="1" allowBlank="1" error="Elige Sí o No." type="list">
      <formula1>"Sí,No"</formula1>
    </dataValidation>
  </dataValidations>
  <hyperlinks>
    <hyperlink xmlns:r="http://schemas.openxmlformats.org/officeDocument/2006/relationships" ref="B48" r:id="rId1"/>
    <hyperlink xmlns:r="http://schemas.openxmlformats.org/officeDocument/2006/relationships" ref="B49" r:id="rId2"/>
    <hyperlink xmlns:r="http://schemas.openxmlformats.org/officeDocument/2006/relationships" ref="B50" r:id="rId3"/>
    <hyperlink xmlns:r="http://schemas.openxmlformats.org/officeDocument/2006/relationships" ref="B51" r:id="rId4"/>
  </hyperlinks>
  <printOptions horizontalCentered="1"/>
  <pageMargins left="0.4" right="0.4" top="1" bottom="1" header="0.5" footer="0.5"/>
  <pageSetup orientation="landscape" paperSize="1" fitToHeight="0" fitToWidth="1"/>
  <headerFooter>
    <oddHeader/>
    <oddFooter>&amp;L&amp;8 Solución Contable y Fiscal · WhatsApp 300 507 4934&amp;R&amp;8 Página &amp;P de &amp;N</oddFooter>
    <evenHeader/>
    <evenFooter/>
    <firstHeader/>
    <firstFooter/>
  </headerFooter>
  <drawing xmlns:r="http://schemas.openxmlformats.org/officeDocument/2006/relationships" r:id="rId5"/>
</worksheet>
</file>

<file path=xl/worksheets/sheet3.xml><?xml version="1.0" encoding="utf-8"?>
<worksheet xmlns="http://schemas.openxmlformats.org/spreadsheetml/2006/main">
  <sheetPr>
    <tabColor rgb="00C9AD69"/>
    <outlinePr summaryBelow="1" summaryRight="1"/>
    <pageSetUpPr fitToPage="1"/>
  </sheetPr>
  <dimension ref="A1:F31"/>
  <sheetViews>
    <sheetView showGridLines="0" workbookViewId="0">
      <selection activeCell="A1" sqref="A1"/>
    </sheetView>
  </sheetViews>
  <sheetFormatPr baseColWidth="8" defaultRowHeight="15"/>
  <cols>
    <col width="2.5" customWidth="1" min="1" max="1"/>
    <col width="24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 ht="10" customHeight="1">
      <c r="A1" s="1" t="n"/>
      <c r="B1" s="1" t="n"/>
      <c r="C1" s="1" t="n"/>
      <c r="D1" s="1" t="n"/>
      <c r="E1" s="1" t="n"/>
      <c r="F1" s="1" t="n"/>
    </row>
    <row r="2" ht="30" customHeight="1">
      <c r="A2" s="1" t="n"/>
      <c r="B2" s="2" t="inlineStr">
        <is>
          <t>Parámetros 2026</t>
        </is>
      </c>
    </row>
    <row r="3" ht="18" customHeight="1">
      <c r="A3" s="1" t="n"/>
      <c r="B3" s="3" t="inlineStr">
        <is>
          <t>Valores y tabla del art. 383 ET usados en los cálculos</t>
        </is>
      </c>
    </row>
    <row r="4" ht="18" customHeight="1">
      <c r="A4" s="1" t="n"/>
      <c r="B4" s="4" t="inlineStr">
        <is>
          <t>WhatsApp 300 507 4934  ·  solucontfisc@gmail.com  ·  recursos.solucioncontableyfiscal.com</t>
        </is>
      </c>
    </row>
    <row r="5" ht="10" customHeight="1">
      <c r="A5" s="1" t="n"/>
      <c r="B5" s="1" t="n"/>
      <c r="C5" s="1" t="n"/>
      <c r="D5" s="1" t="n"/>
      <c r="E5" s="1" t="n"/>
      <c r="F5" s="1" t="n"/>
    </row>
    <row r="6" ht="4" customHeight="1">
      <c r="A6" s="5" t="n"/>
      <c r="B6" s="5" t="n"/>
      <c r="C6" s="5" t="n"/>
      <c r="D6" s="5" t="n"/>
      <c r="E6" s="5" t="n"/>
      <c r="F6" s="5" t="n"/>
    </row>
    <row r="8">
      <c r="B8" s="47" t="inlineStr">
        <is>
          <t>UVT 2026</t>
        </is>
      </c>
      <c r="C8" s="48" t="n">
        <v>52374</v>
      </c>
    </row>
    <row r="9">
      <c r="B9" s="47" t="inlineStr">
        <is>
          <t>Salario mínimo 2026</t>
        </is>
      </c>
      <c r="C9" s="48" t="n">
        <v>1750905</v>
      </c>
    </row>
    <row r="11" ht="24" customHeight="1">
      <c r="B11" s="8" t="inlineStr">
        <is>
          <t>TABLA ART. 383 ET</t>
        </is>
      </c>
      <c r="C11" s="9" t="n"/>
      <c r="D11" s="9" t="n"/>
      <c r="E11" s="9" t="n"/>
      <c r="F11" s="9" t="n"/>
    </row>
    <row r="12">
      <c r="B12" s="49" t="inlineStr">
        <is>
          <t>Desde (UVT)</t>
        </is>
      </c>
      <c r="C12" s="49" t="inlineStr">
        <is>
          <t>Hasta (UVT)</t>
        </is>
      </c>
      <c r="D12" s="49" t="inlineStr">
        <is>
          <t>Tarifa marginal</t>
        </is>
      </c>
      <c r="E12" s="49" t="inlineStr">
        <is>
          <t>Se resta (UVT)</t>
        </is>
      </c>
      <c r="F12" s="49" t="inlineStr">
        <is>
          <t>Se suma (UVT)</t>
        </is>
      </c>
    </row>
    <row r="13">
      <c r="B13" s="50" t="n">
        <v>0</v>
      </c>
      <c r="C13" s="50" t="n">
        <v>95</v>
      </c>
      <c r="D13" s="51" t="n">
        <v>0</v>
      </c>
      <c r="E13" s="50" t="n">
        <v>0</v>
      </c>
      <c r="F13" s="50" t="n">
        <v>0</v>
      </c>
    </row>
    <row r="14">
      <c r="B14" s="52" t="n">
        <v>95</v>
      </c>
      <c r="C14" s="52" t="n">
        <v>150</v>
      </c>
      <c r="D14" s="53" t="n">
        <v>0.19</v>
      </c>
      <c r="E14" s="52" t="n">
        <v>95</v>
      </c>
      <c r="F14" s="52" t="n">
        <v>0</v>
      </c>
    </row>
    <row r="15">
      <c r="B15" s="50" t="n">
        <v>150</v>
      </c>
      <c r="C15" s="50" t="n">
        <v>360</v>
      </c>
      <c r="D15" s="51" t="n">
        <v>0.28</v>
      </c>
      <c r="E15" s="50" t="n">
        <v>150</v>
      </c>
      <c r="F15" s="50" t="n">
        <v>10</v>
      </c>
    </row>
    <row r="16">
      <c r="B16" s="52" t="n">
        <v>360</v>
      </c>
      <c r="C16" s="52" t="n">
        <v>640</v>
      </c>
      <c r="D16" s="53" t="n">
        <v>0.33</v>
      </c>
      <c r="E16" s="52" t="n">
        <v>360</v>
      </c>
      <c r="F16" s="52" t="n">
        <v>69</v>
      </c>
    </row>
    <row r="17">
      <c r="B17" s="50" t="n">
        <v>640</v>
      </c>
      <c r="C17" s="50" t="n">
        <v>945</v>
      </c>
      <c r="D17" s="51" t="n">
        <v>0.35</v>
      </c>
      <c r="E17" s="50" t="n">
        <v>640</v>
      </c>
      <c r="F17" s="50" t="n">
        <v>162</v>
      </c>
    </row>
    <row r="18">
      <c r="B18" s="52" t="n">
        <v>945</v>
      </c>
      <c r="C18" s="52" t="n">
        <v>2300</v>
      </c>
      <c r="D18" s="53" t="n">
        <v>0.37</v>
      </c>
      <c r="E18" s="52" t="n">
        <v>945</v>
      </c>
      <c r="F18" s="52" t="n">
        <v>268</v>
      </c>
    </row>
    <row r="19">
      <c r="B19" s="50" t="n">
        <v>2300</v>
      </c>
      <c r="C19" s="50" t="inlineStr">
        <is>
          <t>En adelante</t>
        </is>
      </c>
      <c r="D19" s="51" t="n">
        <v>0.39</v>
      </c>
      <c r="E19" s="50" t="n">
        <v>2300</v>
      </c>
      <c r="F19" s="50" t="n">
        <v>770</v>
      </c>
    </row>
    <row r="22" ht="8" customHeight="1">
      <c r="A22" s="26" t="n"/>
      <c r="B22" s="26" t="n"/>
      <c r="C22" s="26" t="n"/>
      <c r="D22" s="26" t="n"/>
      <c r="E22" s="26" t="n"/>
      <c r="F22" s="26" t="n"/>
    </row>
    <row r="23">
      <c r="A23" s="27" t="n"/>
      <c r="B23" s="28" t="inlineStr">
        <is>
          <t>¿Prefieres que lo hagamos por ti?</t>
        </is>
      </c>
      <c r="C23" s="27" t="n"/>
      <c r="D23" s="27" t="n"/>
      <c r="E23" s="27" t="n"/>
      <c r="F23" s="27" t="n"/>
    </row>
    <row r="24">
      <c r="A24" s="27" t="n"/>
      <c r="B24" s="29" t="inlineStr">
        <is>
          <t>Contabilidad · Impuestos · Revisoría fiscal y auditoría · Nómina electrónica</t>
        </is>
      </c>
      <c r="C24" s="27" t="n"/>
      <c r="D24" s="27" t="n"/>
      <c r="E24" s="27" t="n"/>
      <c r="F24" s="27" t="n"/>
    </row>
    <row r="25">
      <c r="A25" s="27" t="n"/>
      <c r="B25" s="30" t="inlineStr">
        <is>
          <t>Escríbenos por WhatsApp: 300 507 4934</t>
        </is>
      </c>
      <c r="C25" s="27" t="n"/>
      <c r="D25" s="27" t="n"/>
      <c r="E25" s="27" t="n"/>
      <c r="F25" s="27" t="n"/>
    </row>
    <row r="26">
      <c r="A26" s="27" t="n"/>
      <c r="B26" s="30" t="inlineStr">
        <is>
          <t>Agenda una cita</t>
        </is>
      </c>
      <c r="C26" s="27" t="n"/>
      <c r="D26" s="27" t="n"/>
      <c r="E26" s="27" t="n"/>
      <c r="F26" s="27" t="n"/>
    </row>
    <row r="27">
      <c r="A27" s="27" t="n"/>
      <c r="B27" s="30" t="inlineStr">
        <is>
          <t>Calendario y calculadoras gratis: recursos.solucioncontableyfiscal.com</t>
        </is>
      </c>
      <c r="C27" s="27" t="n"/>
      <c r="D27" s="27" t="n"/>
      <c r="E27" s="27" t="n"/>
      <c r="F27" s="27" t="n"/>
    </row>
    <row r="28">
      <c r="A28" s="27" t="n"/>
      <c r="B28" s="30" t="inlineStr">
        <is>
          <t>Correo: solucontfisc@gmail.com</t>
        </is>
      </c>
      <c r="C28" s="27" t="n"/>
      <c r="D28" s="27" t="n"/>
      <c r="E28" s="27" t="n"/>
      <c r="F28" s="27" t="n"/>
    </row>
    <row r="29">
      <c r="A29" s="27" t="n"/>
      <c r="B29" s="31" t="inlineStr">
        <is>
          <t>SOLUCION CONTABLE Y FISCAL S.A.S. · Vía 40 #73-290, Edificio Mix, Oficina 612, Barranquilla · Atención virtual en toda Colombia</t>
        </is>
      </c>
      <c r="C29" s="27" t="n"/>
      <c r="D29" s="27" t="n"/>
      <c r="E29" s="27" t="n"/>
      <c r="F29" s="27" t="n"/>
    </row>
    <row r="30">
      <c r="A30" s="27" t="n"/>
      <c r="B30" s="32" t="inlineStr">
        <is>
          <t>Información de referencia; no reemplaza la asesoría profesional. Verifica tu caso particular con un contador.</t>
        </is>
      </c>
      <c r="C30" s="27" t="n"/>
      <c r="D30" s="27" t="n"/>
      <c r="E30" s="27" t="n"/>
      <c r="F30" s="27" t="n"/>
    </row>
    <row r="31" ht="8" customHeight="1">
      <c r="A31" s="27" t="n"/>
      <c r="B31" s="27" t="n"/>
      <c r="C31" s="27" t="n"/>
      <c r="D31" s="27" t="n"/>
      <c r="E31" s="27" t="n"/>
      <c r="F31" s="27" t="n"/>
    </row>
  </sheetData>
  <sheetProtection selectLockedCells="0" selectUnlockedCells="0" sheet="1" objects="0" insertRows="1" insertHyperlinks="1" autoFilter="0" scenarios="0" formatColumns="0" deleteColumns="1" insertColumns="1" pivotTables="1" deleteRows="1" formatCells="1" formatRows="0" sort="0"/>
  <mergeCells count="12">
    <mergeCell ref="B4:F4"/>
    <mergeCell ref="B30:F30"/>
    <mergeCell ref="B29:F29"/>
    <mergeCell ref="B24:F24"/>
    <mergeCell ref="B2:F2"/>
    <mergeCell ref="B11:F11"/>
    <mergeCell ref="B25:F25"/>
    <mergeCell ref="B3:F3"/>
    <mergeCell ref="B28:F28"/>
    <mergeCell ref="B23:F23"/>
    <mergeCell ref="B26:F26"/>
    <mergeCell ref="B27:F27"/>
  </mergeCells>
  <hyperlinks>
    <hyperlink xmlns:r="http://schemas.openxmlformats.org/officeDocument/2006/relationships" ref="B25" r:id="rId1"/>
    <hyperlink xmlns:r="http://schemas.openxmlformats.org/officeDocument/2006/relationships" ref="B26" r:id="rId2"/>
    <hyperlink xmlns:r="http://schemas.openxmlformats.org/officeDocument/2006/relationships" ref="B27" r:id="rId3"/>
    <hyperlink xmlns:r="http://schemas.openxmlformats.org/officeDocument/2006/relationships" ref="B28" r:id="rId4"/>
  </hyperlinks>
  <printOptions horizontalCentered="1"/>
  <pageMargins left="0.4" right="0.4" top="1" bottom="1" header="0.5" footer="0.5"/>
  <pageSetup orientation="portrait" paperSize="1" fitToHeight="0" fitToWidth="1"/>
  <headerFooter>
    <oddHeader/>
    <oddFooter>&amp;L&amp;8 Solución Contable y Fiscal · WhatsApp 300 507 4934&amp;R&amp;8 Página &amp;P de &amp;N</oddFooter>
    <evenHeader/>
    <evenFooter/>
    <firstHeader/>
    <firstFooter/>
  </headerFooter>
  <drawing xmlns:r="http://schemas.openxmlformats.org/officeDocument/2006/relationships" r:id="rId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Solución Contable y Fiscal S.A.S.</dc:creator>
  <dc:title xmlns:dc="http://purl.org/dc/elements/1.1/">Retención en la fuente por salarios 2026</dc:title>
  <dc:subject xmlns:dc="http://purl.org/dc/elements/1.1/">Procedimiento 1, art. 383 ET</dc:subject>
  <dcterms:created xmlns:dcterms="http://purl.org/dc/terms/" xmlns:xsi="http://www.w3.org/2001/XMLSchema-instance" xsi:type="dcterms:W3CDTF">2026-10-25T16:47:30Z</dcterms:created>
  <dcterms:modified xmlns:dcterms="http://purl.org/dc/terms/" xmlns:xsi="http://www.w3.org/2001/XMLSchema-instance" xsi:type="dcterms:W3CDTF">2026-10-25T16:47:30Z</dcterms:modified>
  <cp:keywords>Solución Contable y Fiscal, Colombia, DIAN, 2026</cp:keywords>
</cp:coreProperties>
</file>