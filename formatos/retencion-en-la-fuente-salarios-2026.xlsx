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ón" sheetId="1" state="visible" r:id="rId1"/>
    <sheet xmlns:r="http://schemas.openxmlformats.org/officeDocument/2006/relationships" name="Pará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1B3562"/>
      <sz val="11"/>
    </font>
    <font>
      <name val="Calibri"/>
      <b val="1"/>
      <color rgb="00FFFFFF"/>
      <sz val="11"/>
    </font>
    <font>
      <name val="Calibri"/>
      <b val="1"/>
      <color rgb="001B3562"/>
      <sz val="16"/>
    </font>
    <font>
      <name val="Calibri"/>
      <color rgb="005A6273"/>
      <sz val="9"/>
    </font>
  </fonts>
  <fills count="4">
    <fill>
      <patternFill/>
    </fill>
    <fill>
      <patternFill patternType="gray125"/>
    </fill>
    <fill>
      <patternFill patternType="solid">
        <fgColor rgb="001B3562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E2DDCF"/>
      </left>
      <right style="thin">
        <color rgb="00E2DDCF"/>
      </right>
      <top style="thin">
        <color rgb="00E2DDCF"/>
      </top>
      <bottom style="thin">
        <color rgb="00E2DDC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3" borderId="1" pivotButton="0" quotePrefix="0" xfId="0"/>
    <xf numFmtId="1" fontId="0" fillId="3" borderId="1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" t="inlineStr">
        <is>
          <t>Retención en la fuente por salarios 2026 · procedimiento 1</t>
        </is>
      </c>
    </row>
    <row r="2">
      <c r="A2" s="2" t="inlineStr">
        <is>
          <t>Llena las celdas amarillas. Arts. 383, 387 y 388 del Estatuto Tributario. Topes anuales aplicados en doceavas partes.</t>
        </is>
      </c>
    </row>
    <row r="4">
      <c r="A4" t="inlineStr">
        <is>
          <t>Salario del mes</t>
        </is>
      </c>
      <c r="B4" s="3" t="n">
        <v>15000000</v>
      </c>
    </row>
    <row r="5">
      <c r="A5" t="inlineStr">
        <is>
          <t>Otros pagos laborales del mes</t>
        </is>
      </c>
      <c r="B5" s="3" t="n">
        <v>0</v>
      </c>
    </row>
    <row r="6">
      <c r="A6" t="inlineStr">
        <is>
          <t>¿Tiene dependientes? (1 = sí, 0 = no)</t>
        </is>
      </c>
      <c r="B6" s="4" t="n">
        <v>0</v>
      </c>
    </row>
    <row r="7">
      <c r="A7" t="inlineStr">
        <is>
          <t>Intereses de vivienda (mensual)</t>
        </is>
      </c>
      <c r="B7" s="3" t="n">
        <v>0</v>
      </c>
    </row>
    <row r="8">
      <c r="A8" t="inlineStr">
        <is>
          <t>Medicina prepagada (mensual)</t>
        </is>
      </c>
      <c r="B8" s="3" t="n">
        <v>0</v>
      </c>
    </row>
    <row r="9">
      <c r="A9" t="inlineStr">
        <is>
          <t>Aportes voluntarios a pensión o AFC del mes</t>
        </is>
      </c>
      <c r="B9" s="3" t="n">
        <v>0</v>
      </c>
    </row>
    <row r="11">
      <c r="A11" t="inlineStr">
        <is>
          <t>Ingresos laborales</t>
        </is>
      </c>
      <c r="B11" s="5">
        <f>B4+B5</f>
        <v/>
      </c>
    </row>
    <row r="12">
      <c r="A12" t="inlineStr">
        <is>
          <t>Ingreso base de cotización (tope 25 SMMLV)</t>
        </is>
      </c>
      <c r="B12" s="5">
        <f>MIN(B11,25*Parámetros!$B$2)</f>
        <v/>
      </c>
    </row>
    <row r="13">
      <c r="A13" t="inlineStr">
        <is>
          <t>(−) Salud 4 %</t>
        </is>
      </c>
      <c r="B13" s="5">
        <f>B12*4%</f>
        <v/>
      </c>
    </row>
    <row r="14">
      <c r="A14" t="inlineStr">
        <is>
          <t>(−) Pensión 4 %</t>
        </is>
      </c>
      <c r="B14" s="5">
        <f>B12*4%</f>
        <v/>
      </c>
    </row>
    <row r="15">
      <c r="A15" t="inlineStr">
        <is>
          <t>(−) Fondo de solidaridad pensional</t>
        </is>
      </c>
      <c r="B15" s="5">
        <f>B12*IF(B12&lt;4*Parámetros!$B$2,0,IF(B12&lt;16*Parámetros!$B$2,1%,IF(B12&lt;17*Parámetros!$B$2,1.2%,IF(B12&lt;18*Parámetros!$B$2,1.4%,IF(B12&lt;19*Parámetros!$B$2,1.6%,IF(B12&lt;20*Parámetros!$B$2,1.8%,2%))))))</f>
        <v/>
      </c>
    </row>
    <row r="16">
      <c r="A16" s="6" t="inlineStr">
        <is>
          <t>Ingreso neto</t>
        </is>
      </c>
      <c r="B16" s="7">
        <f>B11-B13-B14-B15</f>
        <v/>
      </c>
    </row>
    <row r="17">
      <c r="A17" t="inlineStr">
        <is>
          <t>(−) Dependientes (10 %, máx. 32 UVT)</t>
        </is>
      </c>
      <c r="B17" s="5">
        <f>IF(B6=1,MIN(B11*10%,32*Parámetros!$B$1),0)</f>
        <v/>
      </c>
    </row>
    <row r="18">
      <c r="A18" t="inlineStr">
        <is>
          <t>(−) Intereses de vivienda (máx. 100 UVT)</t>
        </is>
      </c>
      <c r="B18" s="5">
        <f>MIN(B7,100*Parámetros!$B$1)</f>
        <v/>
      </c>
    </row>
    <row r="19">
      <c r="A19" t="inlineStr">
        <is>
          <t>(−) Medicina prepagada (máx. 16 UVT)</t>
        </is>
      </c>
      <c r="B19" s="5">
        <f>MIN(B8,16*Parámetros!$B$1)</f>
        <v/>
      </c>
    </row>
    <row r="20">
      <c r="A20" t="inlineStr">
        <is>
          <t>(−) Aportes voluntarios / AFC (máx. 30 % y 3.800 UVT al año)</t>
        </is>
      </c>
      <c r="B20" s="5">
        <f>MIN(B9,B11*30%,3800*Parámetros!$B$1/12)</f>
        <v/>
      </c>
    </row>
    <row r="21">
      <c r="A21" t="inlineStr">
        <is>
          <t>Subtotal</t>
        </is>
      </c>
      <c r="B21" s="5">
        <f>MAX(B16-B17-B18-B19-B20,0)</f>
        <v/>
      </c>
    </row>
    <row r="22">
      <c r="A22" t="inlineStr">
        <is>
          <t>(−) Renta exenta 25 % (máx. 790 UVT al año)</t>
        </is>
      </c>
      <c r="B22" s="5">
        <f>MIN(B21*25%,790*Parámetros!$B$1/12)</f>
        <v/>
      </c>
    </row>
    <row r="23">
      <c r="A23" t="inlineStr">
        <is>
          <t>Total deducciones y rentas exentas</t>
        </is>
      </c>
      <c r="B23" s="5">
        <f>B17+B18+B19+B20+B22</f>
        <v/>
      </c>
    </row>
    <row r="24">
      <c r="A24" t="inlineStr">
        <is>
          <t>Límite 40 % y 1.340 UVT al año</t>
        </is>
      </c>
      <c r="B24" s="5">
        <f>MIN(B16*40%,1340*Parámetros!$B$1/12)</f>
        <v/>
      </c>
    </row>
    <row r="25">
      <c r="A25" s="6" t="inlineStr">
        <is>
          <t>Base gravable</t>
        </is>
      </c>
      <c r="B25" s="7">
        <f>MAX(B16-MIN(B23,B24),0)</f>
        <v/>
      </c>
    </row>
    <row r="26">
      <c r="A26" t="inlineStr">
        <is>
          <t>Base gravable en UVT</t>
        </is>
      </c>
      <c r="B26" s="8">
        <f>B25/Parámetros!$B$1</f>
        <v/>
      </c>
    </row>
    <row r="27">
      <c r="A27" t="inlineStr">
        <is>
          <t>Retención en UVT</t>
        </is>
      </c>
      <c r="B27" s="8">
        <f>IF(B26&lt;=95,0,(B26-VLOOKUP(B26,Parámetros!$A$6:$E$12,4,TRUE))*VLOOKUP(B26,Parámetros!$A$6:$E$12,3,TRUE)+VLOOKUP(B26,Parámetros!$A$6:$E$12,5,TRUE))</f>
        <v/>
      </c>
    </row>
    <row r="28">
      <c r="A28" s="6" t="inlineStr">
        <is>
          <t>Retención del mes</t>
        </is>
      </c>
      <c r="B28" s="7">
        <f>B27*Parámetros!$B$1</f>
        <v/>
      </c>
    </row>
    <row r="30">
      <c r="A30" s="2" t="inlineStr">
        <is>
          <t>Plantilla de Solución Contable y Fiscal · recursos.solucioncontableyfiscal.com · WhatsApp 300 507 4934. Información de referencia; no reemplaza la asesoría profesional.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UVT 2026</t>
        </is>
      </c>
      <c r="B1" s="5" t="n">
        <v>52374</v>
      </c>
    </row>
    <row r="2">
      <c r="A2" t="inlineStr">
        <is>
          <t>Salario mínimo 2026</t>
        </is>
      </c>
      <c r="B2" s="5" t="n">
        <v>1750905</v>
      </c>
    </row>
    <row r="4">
      <c r="A4" s="6" t="inlineStr">
        <is>
          <t>Tabla art. 383 ET</t>
        </is>
      </c>
    </row>
    <row r="5">
      <c r="A5" s="9" t="inlineStr">
        <is>
          <t>Desde (UVT)</t>
        </is>
      </c>
      <c r="B5" s="9" t="inlineStr">
        <is>
          <t>Hasta (UVT)</t>
        </is>
      </c>
      <c r="C5" s="9" t="inlineStr">
        <is>
          <t>Tarifa marginal</t>
        </is>
      </c>
      <c r="D5" s="9" t="inlineStr">
        <is>
          <t>Se resta (UVT)</t>
        </is>
      </c>
      <c r="E5" s="9" t="inlineStr">
        <is>
          <t>Se suma (UVT)</t>
        </is>
      </c>
    </row>
    <row r="6">
      <c r="A6" t="n">
        <v>0</v>
      </c>
      <c r="B6" t="n">
        <v>95</v>
      </c>
      <c r="C6" t="n">
        <v>0</v>
      </c>
      <c r="D6" t="n">
        <v>0</v>
      </c>
      <c r="E6" t="n">
        <v>0</v>
      </c>
    </row>
    <row r="7">
      <c r="A7" t="n">
        <v>95</v>
      </c>
      <c r="B7" t="n">
        <v>150</v>
      </c>
      <c r="C7" t="n">
        <v>0.19</v>
      </c>
      <c r="D7" t="n">
        <v>95</v>
      </c>
      <c r="E7" t="n">
        <v>0</v>
      </c>
    </row>
    <row r="8">
      <c r="A8" t="n">
        <v>150</v>
      </c>
      <c r="B8" t="n">
        <v>360</v>
      </c>
      <c r="C8" t="n">
        <v>0.28</v>
      </c>
      <c r="D8" t="n">
        <v>150</v>
      </c>
      <c r="E8" t="n">
        <v>10</v>
      </c>
    </row>
    <row r="9">
      <c r="A9" t="n">
        <v>360</v>
      </c>
      <c r="B9" t="n">
        <v>640</v>
      </c>
      <c r="C9" t="n">
        <v>0.33</v>
      </c>
      <c r="D9" t="n">
        <v>360</v>
      </c>
      <c r="E9" t="n">
        <v>69</v>
      </c>
    </row>
    <row r="10">
      <c r="A10" t="n">
        <v>640</v>
      </c>
      <c r="B10" t="n">
        <v>945</v>
      </c>
      <c r="C10" t="n">
        <v>0.35</v>
      </c>
      <c r="D10" t="n">
        <v>640</v>
      </c>
      <c r="E10" t="n">
        <v>162</v>
      </c>
    </row>
    <row r="11">
      <c r="A11" t="n">
        <v>945</v>
      </c>
      <c r="B11" t="n">
        <v>2300</v>
      </c>
      <c r="C11" t="n">
        <v>0.37</v>
      </c>
      <c r="D11" t="n">
        <v>945</v>
      </c>
      <c r="E11" t="n">
        <v>268</v>
      </c>
    </row>
    <row r="12">
      <c r="A12" t="n">
        <v>2300</v>
      </c>
      <c r="B12" t="n">
        <v>999999999</v>
      </c>
      <c r="C12" t="n">
        <v>0.39</v>
      </c>
      <c r="D12" t="n">
        <v>2300</v>
      </c>
      <c r="E12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2026-10-23T05:06:47Z</dcterms:created>
  <dcterms:modified xmlns:dcterms="http://purl.org/dc/terms/" xmlns:xsi="http://www.w3.org/2001/XMLSchema-instance" xsi:type="dcterms:W3CDTF">2026-10-23T05:06:47Z</dcterms:modified>
</cp:coreProperties>
</file>