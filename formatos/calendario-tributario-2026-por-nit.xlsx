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s fechas" sheetId="1" state="visible" r:id="rId1"/>
    <sheet xmlns:r="http://schemas.openxmlformats.org/officeDocument/2006/relationships" name="Datos DIAN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B3562"/>
      <sz val="16"/>
    </font>
    <font>
      <name val="Calibri"/>
      <color rgb="005A6273"/>
      <sz val="9"/>
    </font>
    <font>
      <name val="Calibri"/>
      <b val="1"/>
      <color rgb="001B3562"/>
      <sz val="11"/>
    </font>
    <font>
      <b val="1"/>
      <color rgb="001B3562"/>
      <sz val="14"/>
    </font>
  </fonts>
  <fills count="5">
    <fill>
      <patternFill/>
    </fill>
    <fill>
      <patternFill patternType="gray125"/>
    </fill>
    <fill>
      <patternFill patternType="solid">
        <fgColor rgb="001B3562"/>
      </patternFill>
    </fill>
    <fill>
      <patternFill patternType="solid">
        <fgColor rgb="00FFF6DD"/>
      </patternFill>
    </fill>
    <fill>
      <patternFill patternType="solid">
        <fgColor rgb="00F8F6F0"/>
      </patternFill>
    </fill>
  </fills>
  <borders count="2">
    <border>
      <left/>
      <right/>
      <top/>
      <bottom/>
      <diagonal/>
    </border>
    <border>
      <left style="thin">
        <color rgb="00E2DDCF"/>
      </left>
      <right style="thin">
        <color rgb="00E2DDCF"/>
      </right>
      <top style="thin">
        <color rgb="00E2DDCF"/>
      </top>
      <bottom style="thin">
        <color rgb="00E2DDC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pivotButton="0" quotePrefix="0" xfId="0"/>
    <xf numFmtId="165" fontId="0" fillId="0" borderId="0" pivotButton="0" quotePrefix="0" xfId="0"/>
    <xf numFmtId="0" fontId="1" fillId="2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6" customWidth="1" min="3" max="3"/>
    <col width="16" customWidth="1" min="4" max="4"/>
  </cols>
  <sheetData>
    <row r="1">
      <c r="A1" s="1" t="inlineStr">
        <is>
          <t>Calendario tributario 2026 por NIT</t>
        </is>
      </c>
    </row>
    <row r="2">
      <c r="A2" s="2" t="inlineStr">
        <is>
          <t>Escribe los dos últimos dígitos de tu NIT (sin el dígito de verificación) en la celda amarilla.</t>
        </is>
      </c>
    </row>
    <row r="4">
      <c r="A4" s="3" t="inlineStr">
        <is>
          <t>Dos últimos dígitos del NIT</t>
        </is>
      </c>
      <c r="B4" s="4" t="n">
        <v>34</v>
      </c>
    </row>
    <row r="5">
      <c r="A5" t="inlineStr">
        <is>
          <t>Último dígito</t>
        </is>
      </c>
      <c r="B5">
        <f>MOD(B4,10)</f>
        <v/>
      </c>
    </row>
    <row r="6">
      <c r="A6" s="3" t="inlineStr">
        <is>
          <t>Renta personas naturales (año gravable 2025)</t>
        </is>
      </c>
      <c r="B6" s="5">
        <f>VLOOKUP(MOD(B4,100),'Datos DIAN 2026'!$P$2:$Q$101,2,FALSE)</f>
        <v/>
      </c>
    </row>
    <row r="8">
      <c r="A8" s="6" t="inlineStr">
        <is>
          <t>Obligación</t>
        </is>
      </c>
      <c r="B8" s="6" t="inlineStr">
        <is>
          <t>Período</t>
        </is>
      </c>
      <c r="C8" s="6" t="inlineStr">
        <is>
          <t>Fecha límite</t>
        </is>
      </c>
      <c r="D8" s="6" t="inlineStr">
        <is>
          <t>Días que faltan</t>
        </is>
      </c>
    </row>
    <row r="9">
      <c r="A9">
        <f>'Datos DIAN 2026'!A2</f>
        <v/>
      </c>
      <c r="B9">
        <f>'Datos DIAN 2026'!B2</f>
        <v/>
      </c>
      <c r="C9" s="5">
        <f>INDEX('Datos DIAN 2026'!$D$2:$M$2,MATCH($B$5,'Datos DIAN 2026'!$D$1:$M$1,0))</f>
        <v/>
      </c>
      <c r="D9">
        <f>IF(C9-TODAY()&lt;0,"Vencido",C9-TODAY())</f>
        <v/>
      </c>
    </row>
    <row r="10">
      <c r="A10" s="7">
        <f>'Datos DIAN 2026'!A3</f>
        <v/>
      </c>
      <c r="B10" s="7">
        <f>'Datos DIAN 2026'!B3</f>
        <v/>
      </c>
      <c r="C10" s="8">
        <f>INDEX('Datos DIAN 2026'!$D$3:$M$3,MATCH($B$5,'Datos DIAN 2026'!$D$1:$M$1,0))</f>
        <v/>
      </c>
      <c r="D10" s="7">
        <f>IF(C10-TODAY()&lt;0,"Vencido",C10-TODAY())</f>
        <v/>
      </c>
    </row>
    <row r="11">
      <c r="A11">
        <f>'Datos DIAN 2026'!A4</f>
        <v/>
      </c>
      <c r="B11">
        <f>'Datos DIAN 2026'!B4</f>
        <v/>
      </c>
      <c r="C11" s="5">
        <f>INDEX('Datos DIAN 2026'!$D$4:$M$4,MATCH($B$5,'Datos DIAN 2026'!$D$1:$M$1,0))</f>
        <v/>
      </c>
      <c r="D11">
        <f>IF(C11-TODAY()&lt;0,"Vencido",C11-TODAY())</f>
        <v/>
      </c>
    </row>
    <row r="12">
      <c r="A12" s="7">
        <f>'Datos DIAN 2026'!A5</f>
        <v/>
      </c>
      <c r="B12" s="7">
        <f>'Datos DIAN 2026'!B5</f>
        <v/>
      </c>
      <c r="C12" s="8">
        <f>INDEX('Datos DIAN 2026'!$D$5:$M$5,MATCH($B$5,'Datos DIAN 2026'!$D$1:$M$1,0))</f>
        <v/>
      </c>
      <c r="D12" s="7">
        <f>IF(C12-TODAY()&lt;0,"Vencido",C12-TODAY())</f>
        <v/>
      </c>
    </row>
    <row r="13">
      <c r="A13">
        <f>'Datos DIAN 2026'!A6</f>
        <v/>
      </c>
      <c r="B13">
        <f>'Datos DIAN 2026'!B6</f>
        <v/>
      </c>
      <c r="C13" s="5">
        <f>INDEX('Datos DIAN 2026'!$D$6:$M$6,MATCH($B$5,'Datos DIAN 2026'!$D$1:$M$1,0))</f>
        <v/>
      </c>
      <c r="D13">
        <f>IF(C13-TODAY()&lt;0,"Vencido",C13-TODAY())</f>
        <v/>
      </c>
    </row>
    <row r="14">
      <c r="A14" s="7">
        <f>'Datos DIAN 2026'!A7</f>
        <v/>
      </c>
      <c r="B14" s="7">
        <f>'Datos DIAN 2026'!B7</f>
        <v/>
      </c>
      <c r="C14" s="8">
        <f>INDEX('Datos DIAN 2026'!$D$7:$M$7,MATCH($B$5,'Datos DIAN 2026'!$D$1:$M$1,0))</f>
        <v/>
      </c>
      <c r="D14" s="7">
        <f>IF(C14-TODAY()&lt;0,"Vencido",C14-TODAY())</f>
        <v/>
      </c>
    </row>
    <row r="15">
      <c r="A15">
        <f>'Datos DIAN 2026'!A8</f>
        <v/>
      </c>
      <c r="B15">
        <f>'Datos DIAN 2026'!B8</f>
        <v/>
      </c>
      <c r="C15" s="5">
        <f>INDEX('Datos DIAN 2026'!$D$8:$M$8,MATCH($B$5,'Datos DIAN 2026'!$D$1:$M$1,0))</f>
        <v/>
      </c>
      <c r="D15">
        <f>IF(C15-TODAY()&lt;0,"Vencido",C15-TODAY())</f>
        <v/>
      </c>
    </row>
    <row r="16">
      <c r="A16" s="7">
        <f>'Datos DIAN 2026'!A9</f>
        <v/>
      </c>
      <c r="B16" s="7">
        <f>'Datos DIAN 2026'!B9</f>
        <v/>
      </c>
      <c r="C16" s="8">
        <f>INDEX('Datos DIAN 2026'!$D$9:$M$9,MATCH($B$5,'Datos DIAN 2026'!$D$1:$M$1,0))</f>
        <v/>
      </c>
      <c r="D16" s="7">
        <f>IF(C16-TODAY()&lt;0,"Vencido",C16-TODAY())</f>
        <v/>
      </c>
    </row>
    <row r="17">
      <c r="A17">
        <f>'Datos DIAN 2026'!A10</f>
        <v/>
      </c>
      <c r="B17">
        <f>'Datos DIAN 2026'!B10</f>
        <v/>
      </c>
      <c r="C17" s="5">
        <f>INDEX('Datos DIAN 2026'!$D$10:$M$10,MATCH($B$5,'Datos DIAN 2026'!$D$1:$M$1,0))</f>
        <v/>
      </c>
      <c r="D17">
        <f>IF(C17-TODAY()&lt;0,"Vencido",C17-TODAY())</f>
        <v/>
      </c>
    </row>
    <row r="18">
      <c r="A18" s="7">
        <f>'Datos DIAN 2026'!A11</f>
        <v/>
      </c>
      <c r="B18" s="7">
        <f>'Datos DIAN 2026'!B11</f>
        <v/>
      </c>
      <c r="C18" s="8">
        <f>INDEX('Datos DIAN 2026'!$D$11:$M$11,MATCH($B$5,'Datos DIAN 2026'!$D$1:$M$1,0))</f>
        <v/>
      </c>
      <c r="D18" s="7">
        <f>IF(C18-TODAY()&lt;0,"Vencido",C18-TODAY())</f>
        <v/>
      </c>
    </row>
    <row r="19">
      <c r="A19">
        <f>'Datos DIAN 2026'!A12</f>
        <v/>
      </c>
      <c r="B19">
        <f>'Datos DIAN 2026'!B12</f>
        <v/>
      </c>
      <c r="C19" s="5">
        <f>INDEX('Datos DIAN 2026'!$D$12:$M$12,MATCH($B$5,'Datos DIAN 2026'!$D$1:$M$1,0))</f>
        <v/>
      </c>
      <c r="D19">
        <f>IF(C19-TODAY()&lt;0,"Vencido",C19-TODAY())</f>
        <v/>
      </c>
    </row>
    <row r="20">
      <c r="A20" s="7">
        <f>'Datos DIAN 2026'!A13</f>
        <v/>
      </c>
      <c r="B20" s="7">
        <f>'Datos DIAN 2026'!B13</f>
        <v/>
      </c>
      <c r="C20" s="8">
        <f>INDEX('Datos DIAN 2026'!$D$13:$M$13,MATCH($B$5,'Datos DIAN 2026'!$D$1:$M$1,0))</f>
        <v/>
      </c>
      <c r="D20" s="7">
        <f>IF(C20-TODAY()&lt;0,"Vencido",C20-TODAY())</f>
        <v/>
      </c>
    </row>
    <row r="21">
      <c r="A21">
        <f>'Datos DIAN 2026'!A14</f>
        <v/>
      </c>
      <c r="B21">
        <f>'Datos DIAN 2026'!B14</f>
        <v/>
      </c>
      <c r="C21" s="5">
        <f>INDEX('Datos DIAN 2026'!$D$14:$M$14,MATCH($B$5,'Datos DIAN 2026'!$D$1:$M$1,0))</f>
        <v/>
      </c>
      <c r="D21">
        <f>IF(C21-TODAY()&lt;0,"Vencido",C21-TODAY())</f>
        <v/>
      </c>
    </row>
    <row r="22">
      <c r="A22" s="7">
        <f>'Datos DIAN 2026'!A15</f>
        <v/>
      </c>
      <c r="B22" s="7">
        <f>'Datos DIAN 2026'!B15</f>
        <v/>
      </c>
      <c r="C22" s="8">
        <f>INDEX('Datos DIAN 2026'!$D$15:$M$15,MATCH($B$5,'Datos DIAN 2026'!$D$1:$M$1,0))</f>
        <v/>
      </c>
      <c r="D22" s="7">
        <f>IF(C22-TODAY()&lt;0,"Vencido",C22-TODAY())</f>
        <v/>
      </c>
    </row>
    <row r="23">
      <c r="A23">
        <f>'Datos DIAN 2026'!A16</f>
        <v/>
      </c>
      <c r="B23">
        <f>'Datos DIAN 2026'!B16</f>
        <v/>
      </c>
      <c r="C23" s="5">
        <f>INDEX('Datos DIAN 2026'!$D$16:$M$16,MATCH($B$5,'Datos DIAN 2026'!$D$1:$M$1,0))</f>
        <v/>
      </c>
      <c r="D23">
        <f>IF(C23-TODAY()&lt;0,"Vencido",C23-TODAY())</f>
        <v/>
      </c>
    </row>
    <row r="24">
      <c r="A24" s="7">
        <f>'Datos DIAN 2026'!A17</f>
        <v/>
      </c>
      <c r="B24" s="7">
        <f>'Datos DIAN 2026'!B17</f>
        <v/>
      </c>
      <c r="C24" s="8">
        <f>INDEX('Datos DIAN 2026'!$D$17:$M$17,MATCH($B$5,'Datos DIAN 2026'!$D$1:$M$1,0))</f>
        <v/>
      </c>
      <c r="D24" s="7">
        <f>IF(C24-TODAY()&lt;0,"Vencido",C24-TODAY())</f>
        <v/>
      </c>
    </row>
    <row r="25">
      <c r="A25">
        <f>'Datos DIAN 2026'!A18</f>
        <v/>
      </c>
      <c r="B25">
        <f>'Datos DIAN 2026'!B18</f>
        <v/>
      </c>
      <c r="C25" s="5">
        <f>INDEX('Datos DIAN 2026'!$D$18:$M$18,MATCH($B$5,'Datos DIAN 2026'!$D$1:$M$1,0))</f>
        <v/>
      </c>
      <c r="D25">
        <f>IF(C25-TODAY()&lt;0,"Vencido",C25-TODAY())</f>
        <v/>
      </c>
    </row>
    <row r="26">
      <c r="A26" s="7">
        <f>'Datos DIAN 2026'!A19</f>
        <v/>
      </c>
      <c r="B26" s="7">
        <f>'Datos DIAN 2026'!B19</f>
        <v/>
      </c>
      <c r="C26" s="8">
        <f>INDEX('Datos DIAN 2026'!$D$19:$M$19,MATCH($B$5,'Datos DIAN 2026'!$D$1:$M$1,0))</f>
        <v/>
      </c>
      <c r="D26" s="7">
        <f>IF(C26-TODAY()&lt;0,"Vencido",C26-TODAY())</f>
        <v/>
      </c>
    </row>
    <row r="27">
      <c r="A27">
        <f>'Datos DIAN 2026'!A20</f>
        <v/>
      </c>
      <c r="B27">
        <f>'Datos DIAN 2026'!B20</f>
        <v/>
      </c>
      <c r="C27" s="5">
        <f>INDEX('Datos DIAN 2026'!$D$20:$M$20,MATCH($B$5,'Datos DIAN 2026'!$D$1:$M$1,0))</f>
        <v/>
      </c>
      <c r="D27">
        <f>IF(C27-TODAY()&lt;0,"Vencido",C27-TODAY())</f>
        <v/>
      </c>
    </row>
    <row r="28">
      <c r="A28" s="7">
        <f>'Datos DIAN 2026'!A21</f>
        <v/>
      </c>
      <c r="B28" s="7">
        <f>'Datos DIAN 2026'!B21</f>
        <v/>
      </c>
      <c r="C28" s="8">
        <f>INDEX('Datos DIAN 2026'!$D$21:$M$21,MATCH($B$5,'Datos DIAN 2026'!$D$1:$M$1,0))</f>
        <v/>
      </c>
      <c r="D28" s="7">
        <f>IF(C28-TODAY()&lt;0,"Vencido",C28-TODAY())</f>
        <v/>
      </c>
    </row>
    <row r="29">
      <c r="A29">
        <f>'Datos DIAN 2026'!A22</f>
        <v/>
      </c>
      <c r="B29">
        <f>'Datos DIAN 2026'!B22</f>
        <v/>
      </c>
      <c r="C29" s="5">
        <f>INDEX('Datos DIAN 2026'!$D$22:$M$22,MATCH($B$5,'Datos DIAN 2026'!$D$1:$M$1,0))</f>
        <v/>
      </c>
      <c r="D29">
        <f>IF(C29-TODAY()&lt;0,"Vencido",C29-TODAY())</f>
        <v/>
      </c>
    </row>
    <row r="30">
      <c r="A30" s="7">
        <f>'Datos DIAN 2026'!A23</f>
        <v/>
      </c>
      <c r="B30" s="7">
        <f>'Datos DIAN 2026'!B23</f>
        <v/>
      </c>
      <c r="C30" s="8">
        <f>INDEX('Datos DIAN 2026'!$D$23:$M$23,MATCH($B$5,'Datos DIAN 2026'!$D$1:$M$1,0))</f>
        <v/>
      </c>
      <c r="D30" s="7">
        <f>IF(C30-TODAY()&lt;0,"Vencido",C30-TODAY())</f>
        <v/>
      </c>
    </row>
    <row r="31">
      <c r="A31">
        <f>'Datos DIAN 2026'!A24</f>
        <v/>
      </c>
      <c r="B31">
        <f>'Datos DIAN 2026'!B24</f>
        <v/>
      </c>
      <c r="C31" s="5">
        <f>INDEX('Datos DIAN 2026'!$D$24:$M$24,MATCH($B$5,'Datos DIAN 2026'!$D$1:$M$1,0))</f>
        <v/>
      </c>
      <c r="D31">
        <f>IF(C31-TODAY()&lt;0,"Vencido",C31-TODAY())</f>
        <v/>
      </c>
    </row>
    <row r="32">
      <c r="A32" s="7">
        <f>'Datos DIAN 2026'!A25</f>
        <v/>
      </c>
      <c r="B32" s="7">
        <f>'Datos DIAN 2026'!B25</f>
        <v/>
      </c>
      <c r="C32" s="8">
        <f>INDEX('Datos DIAN 2026'!$D$25:$M$25,MATCH($B$5,'Datos DIAN 2026'!$D$1:$M$1,0))</f>
        <v/>
      </c>
      <c r="D32" s="7">
        <f>IF(C32-TODAY()&lt;0,"Vencido",C32-TODAY())</f>
        <v/>
      </c>
    </row>
    <row r="33">
      <c r="A33">
        <f>'Datos DIAN 2026'!A26</f>
        <v/>
      </c>
      <c r="B33">
        <f>'Datos DIAN 2026'!B26</f>
        <v/>
      </c>
      <c r="C33" s="5">
        <f>INDEX('Datos DIAN 2026'!$D$26:$M$26,MATCH($B$5,'Datos DIAN 2026'!$D$1:$M$1,0))</f>
        <v/>
      </c>
      <c r="D33">
        <f>IF(C33-TODAY()&lt;0,"Vencido",C33-TODAY())</f>
        <v/>
      </c>
    </row>
    <row r="34">
      <c r="A34" s="7">
        <f>'Datos DIAN 2026'!A27</f>
        <v/>
      </c>
      <c r="B34" s="7">
        <f>'Datos DIAN 2026'!B27</f>
        <v/>
      </c>
      <c r="C34" s="8">
        <f>INDEX('Datos DIAN 2026'!$D$27:$M$27,MATCH($B$5,'Datos DIAN 2026'!$D$1:$M$1,0))</f>
        <v/>
      </c>
      <c r="D34" s="7">
        <f>IF(C34-TODAY()&lt;0,"Vencido",C34-TODAY())</f>
        <v/>
      </c>
    </row>
    <row r="35">
      <c r="A35">
        <f>'Datos DIAN 2026'!A28</f>
        <v/>
      </c>
      <c r="B35">
        <f>'Datos DIAN 2026'!B28</f>
        <v/>
      </c>
      <c r="C35" s="5">
        <f>INDEX('Datos DIAN 2026'!$D$28:$M$28,MATCH($B$5,'Datos DIAN 2026'!$D$1:$M$1,0))</f>
        <v/>
      </c>
      <c r="D35">
        <f>IF(C35-TODAY()&lt;0,"Vencido",C35-TODAY())</f>
        <v/>
      </c>
    </row>
    <row r="36">
      <c r="A36" s="7">
        <f>'Datos DIAN 2026'!A29</f>
        <v/>
      </c>
      <c r="B36" s="7">
        <f>'Datos DIAN 2026'!B29</f>
        <v/>
      </c>
      <c r="C36" s="8">
        <f>INDEX('Datos DIAN 2026'!$D$29:$M$29,MATCH($B$5,'Datos DIAN 2026'!$D$1:$M$1,0))</f>
        <v/>
      </c>
      <c r="D36" s="7">
        <f>IF(C36-TODAY()&lt;0,"Vencido",C36-TODAY())</f>
        <v/>
      </c>
    </row>
    <row r="37">
      <c r="A37">
        <f>'Datos DIAN 2026'!A30</f>
        <v/>
      </c>
      <c r="B37">
        <f>'Datos DIAN 2026'!B30</f>
        <v/>
      </c>
      <c r="C37" s="5">
        <f>INDEX('Datos DIAN 2026'!$D$30:$M$30,MATCH($B$5,'Datos DIAN 2026'!$D$1:$M$1,0))</f>
        <v/>
      </c>
      <c r="D37">
        <f>IF(C37-TODAY()&lt;0,"Vencido",C37-TODAY())</f>
        <v/>
      </c>
    </row>
    <row r="38">
      <c r="A38" s="7">
        <f>'Datos DIAN 2026'!A31</f>
        <v/>
      </c>
      <c r="B38" s="7">
        <f>'Datos DIAN 2026'!B31</f>
        <v/>
      </c>
      <c r="C38" s="8">
        <f>INDEX('Datos DIAN 2026'!$D$31:$M$31,MATCH($B$5,'Datos DIAN 2026'!$D$1:$M$1,0))</f>
        <v/>
      </c>
      <c r="D38" s="7">
        <f>IF(C38-TODAY()&lt;0,"Vencido",C38-TODAY())</f>
        <v/>
      </c>
    </row>
    <row r="39">
      <c r="A39">
        <f>'Datos DIAN 2026'!A32</f>
        <v/>
      </c>
      <c r="B39">
        <f>'Datos DIAN 2026'!B32</f>
        <v/>
      </c>
      <c r="C39" s="5">
        <f>INDEX('Datos DIAN 2026'!$D$32:$M$32,MATCH($B$5,'Datos DIAN 2026'!$D$1:$M$1,0))</f>
        <v/>
      </c>
      <c r="D39">
        <f>IF(C39-TODAY()&lt;0,"Vencido",C39-TODAY())</f>
        <v/>
      </c>
    </row>
    <row r="40">
      <c r="A40" s="7">
        <f>'Datos DIAN 2026'!A33</f>
        <v/>
      </c>
      <c r="B40" s="7">
        <f>'Datos DIAN 2026'!B33</f>
        <v/>
      </c>
      <c r="C40" s="8">
        <f>INDEX('Datos DIAN 2026'!$D$33:$M$33,MATCH($B$5,'Datos DIAN 2026'!$D$1:$M$1,0))</f>
        <v/>
      </c>
      <c r="D40" s="7">
        <f>IF(C40-TODAY()&lt;0,"Vencido",C40-TODAY())</f>
        <v/>
      </c>
    </row>
    <row r="41">
      <c r="A41">
        <f>'Datos DIAN 2026'!A34</f>
        <v/>
      </c>
      <c r="B41">
        <f>'Datos DIAN 2026'!B34</f>
        <v/>
      </c>
      <c r="C41" s="5">
        <f>INDEX('Datos DIAN 2026'!$D$34:$M$34,MATCH($B$5,'Datos DIAN 2026'!$D$1:$M$1,0))</f>
        <v/>
      </c>
      <c r="D41">
        <f>IF(C41-TODAY()&lt;0,"Vencido",C41-TODAY())</f>
        <v/>
      </c>
    </row>
    <row r="42">
      <c r="A42" s="7">
        <f>'Datos DIAN 2026'!A35</f>
        <v/>
      </c>
      <c r="B42" s="7">
        <f>'Datos DIAN 2026'!B35</f>
        <v/>
      </c>
      <c r="C42" s="8">
        <f>INDEX('Datos DIAN 2026'!$D$35:$M$35,MATCH($B$5,'Datos DIAN 2026'!$D$1:$M$1,0))</f>
        <v/>
      </c>
      <c r="D42" s="7">
        <f>IF(C42-TODAY()&lt;0,"Vencido",C42-TODAY())</f>
        <v/>
      </c>
    </row>
    <row r="44">
      <c r="A44" s="2" t="inlineStr">
        <is>
          <t>Revisa solo las filas que te aplican. Fuente: Calendario Tributario 2026 de la DIAN (versión del 1 de julio de 2026).</t>
        </is>
      </c>
    </row>
    <row r="45">
      <c r="A45" s="2" t="inlineStr">
        <is>
          <t>Plantilla de Solución Contable y Fiscal · recursos.solucioncontableyfiscal.com · WhatsApp 300 507 4934. Información de referencia; no reemplaza la asesoría profesional.</t>
        </is>
      </c>
    </row>
  </sheetData>
  <dataValidations count="1">
    <dataValidation sqref="B4" showDropDown="0" showInputMessage="0" showErrorMessage="1" allowBlank="0" errorTitle="Dígitos" error="Escribe un número de 00 a 99." type="whole" operator="between">
      <formula1>0</formula1>
      <formula2>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18" customWidth="1" min="3" max="3"/>
    <col width="18" customWidth="1" min="16" max="16"/>
    <col width="22" customWidth="1" min="17" max="17"/>
  </cols>
  <sheetData>
    <row r="1">
      <c r="A1" s="6" t="inlineStr">
        <is>
          <t>Obligación</t>
        </is>
      </c>
      <c r="B1" s="6" t="inlineStr">
        <is>
          <t>Período</t>
        </is>
      </c>
      <c r="C1" s="6" t="inlineStr">
        <is>
          <t>Mes de vencimiento</t>
        </is>
      </c>
      <c r="D1" s="6" t="n">
        <v>1</v>
      </c>
      <c r="E1" s="6" t="n">
        <v>2</v>
      </c>
      <c r="F1" s="6" t="n">
        <v>3</v>
      </c>
      <c r="G1" s="6" t="n">
        <v>4</v>
      </c>
      <c r="H1" s="6" t="n">
        <v>5</v>
      </c>
      <c r="I1" s="6" t="n">
        <v>6</v>
      </c>
      <c r="J1" s="6" t="n">
        <v>7</v>
      </c>
      <c r="K1" s="6" t="n">
        <v>8</v>
      </c>
      <c r="L1" s="6" t="n">
        <v>9</v>
      </c>
      <c r="M1" s="6" t="n">
        <v>0</v>
      </c>
      <c r="P1" s="6" t="inlineStr">
        <is>
          <t>Dos últimos dígitos</t>
        </is>
      </c>
      <c r="Q1" s="6" t="inlineStr">
        <is>
          <t>Renta personas naturales</t>
        </is>
      </c>
    </row>
    <row r="2">
      <c r="A2" t="inlineStr">
        <is>
          <t>Renta grandes contribuyentes</t>
        </is>
      </c>
      <c r="B2" t="inlineStr">
        <is>
          <t>Pago 1.ª cuota</t>
        </is>
      </c>
      <c r="C2" t="inlineStr">
        <is>
          <t>2026-02</t>
        </is>
      </c>
      <c r="D2" s="5" t="n">
        <v>46063</v>
      </c>
      <c r="E2" s="5" t="n">
        <v>46064</v>
      </c>
      <c r="F2" s="5" t="n">
        <v>46065</v>
      </c>
      <c r="G2" s="5" t="n">
        <v>46066</v>
      </c>
      <c r="H2" s="5" t="n">
        <v>46069</v>
      </c>
      <c r="I2" s="5" t="n">
        <v>46070</v>
      </c>
      <c r="J2" s="5" t="n">
        <v>46071</v>
      </c>
      <c r="K2" s="5" t="n">
        <v>46072</v>
      </c>
      <c r="L2" s="5" t="n">
        <v>46073</v>
      </c>
      <c r="M2" s="5" t="n">
        <v>46076</v>
      </c>
      <c r="P2" t="n">
        <v>0</v>
      </c>
      <c r="Q2" s="5" t="n">
        <v>46321</v>
      </c>
    </row>
    <row r="3">
      <c r="A3" t="inlineStr">
        <is>
          <t>Renta grandes contribuyentes</t>
        </is>
      </c>
      <c r="B3" t="inlineStr">
        <is>
          <t>Declaración y pago 2.ª cuota</t>
        </is>
      </c>
      <c r="C3" t="inlineStr">
        <is>
          <t>2026-04</t>
        </is>
      </c>
      <c r="D3" s="5" t="n">
        <v>46125</v>
      </c>
      <c r="E3" s="5" t="n">
        <v>46126</v>
      </c>
      <c r="F3" s="5" t="n">
        <v>46127</v>
      </c>
      <c r="G3" s="5" t="n">
        <v>46128</v>
      </c>
      <c r="H3" s="5" t="n">
        <v>46132</v>
      </c>
      <c r="I3" s="5" t="n">
        <v>46133</v>
      </c>
      <c r="J3" s="5" t="n">
        <v>46134</v>
      </c>
      <c r="K3" s="5" t="n">
        <v>46135</v>
      </c>
      <c r="L3" s="5" t="n">
        <v>46136</v>
      </c>
      <c r="M3" s="5" t="n">
        <v>46139</v>
      </c>
      <c r="P3" t="n">
        <v>1</v>
      </c>
      <c r="Q3" s="5" t="n">
        <v>46246</v>
      </c>
    </row>
    <row r="4">
      <c r="A4" t="inlineStr">
        <is>
          <t>Renta grandes contribuyentes</t>
        </is>
      </c>
      <c r="B4" t="inlineStr">
        <is>
          <t>Pago 3.ª cuota</t>
        </is>
      </c>
      <c r="C4" t="inlineStr">
        <is>
          <t>2026-06</t>
        </is>
      </c>
      <c r="D4" s="5" t="n">
        <v>46183</v>
      </c>
      <c r="E4" s="5" t="n">
        <v>46184</v>
      </c>
      <c r="F4" s="5" t="n">
        <v>46185</v>
      </c>
      <c r="G4" s="5" t="n">
        <v>46189</v>
      </c>
      <c r="H4" s="5" t="n">
        <v>46190</v>
      </c>
      <c r="I4" s="5" t="n">
        <v>46191</v>
      </c>
      <c r="J4" s="5" t="n">
        <v>46192</v>
      </c>
      <c r="K4" s="5" t="n">
        <v>46195</v>
      </c>
      <c r="L4" s="5" t="n">
        <v>46196</v>
      </c>
      <c r="M4" s="5" t="n">
        <v>46197</v>
      </c>
      <c r="P4" t="n">
        <v>2</v>
      </c>
      <c r="Q4" s="5" t="n">
        <v>46246</v>
      </c>
    </row>
    <row r="5">
      <c r="A5" t="inlineStr">
        <is>
          <t>Renta personas jurídicas</t>
        </is>
      </c>
      <c r="B5" t="inlineStr">
        <is>
          <t>Declaración y pago 1.ª cuota</t>
        </is>
      </c>
      <c r="C5" t="inlineStr">
        <is>
          <t>2026-05</t>
        </is>
      </c>
      <c r="D5" s="5" t="n">
        <v>46154</v>
      </c>
      <c r="E5" s="5" t="n">
        <v>46155</v>
      </c>
      <c r="F5" s="5" t="n">
        <v>46156</v>
      </c>
      <c r="G5" s="5" t="n">
        <v>46157</v>
      </c>
      <c r="H5" s="5" t="n">
        <v>46161</v>
      </c>
      <c r="I5" s="5" t="n">
        <v>46162</v>
      </c>
      <c r="J5" s="5" t="n">
        <v>46163</v>
      </c>
      <c r="K5" s="5" t="n">
        <v>46164</v>
      </c>
      <c r="L5" s="5" t="n">
        <v>46167</v>
      </c>
      <c r="M5" s="5" t="n">
        <v>46168</v>
      </c>
      <c r="P5" t="n">
        <v>3</v>
      </c>
      <c r="Q5" s="5" t="n">
        <v>46247</v>
      </c>
    </row>
    <row r="6">
      <c r="A6" t="inlineStr">
        <is>
          <t>Renta personas jurídicas</t>
        </is>
      </c>
      <c r="B6" t="inlineStr">
        <is>
          <t>Pago 2.ª cuota</t>
        </is>
      </c>
      <c r="C6" t="inlineStr">
        <is>
          <t>2026-07</t>
        </is>
      </c>
      <c r="D6" s="5" t="n">
        <v>46212</v>
      </c>
      <c r="E6" s="5" t="n">
        <v>46213</v>
      </c>
      <c r="F6" s="5" t="n">
        <v>46217</v>
      </c>
      <c r="G6" s="5" t="n">
        <v>46218</v>
      </c>
      <c r="H6" s="5" t="n">
        <v>46219</v>
      </c>
      <c r="I6" s="5" t="n">
        <v>46220</v>
      </c>
      <c r="J6" s="5" t="n">
        <v>46224</v>
      </c>
      <c r="K6" s="5" t="n">
        <v>46225</v>
      </c>
      <c r="L6" s="5" t="n">
        <v>46226</v>
      </c>
      <c r="M6" s="5" t="n">
        <v>46227</v>
      </c>
      <c r="P6" t="n">
        <v>4</v>
      </c>
      <c r="Q6" s="5" t="n">
        <v>46247</v>
      </c>
    </row>
    <row r="7">
      <c r="A7" t="inlineStr">
        <is>
          <t>IVA bimestral</t>
        </is>
      </c>
      <c r="B7" t="inlineStr">
        <is>
          <t>enero–febrero</t>
        </is>
      </c>
      <c r="C7" t="inlineStr">
        <is>
          <t>2026-03</t>
        </is>
      </c>
      <c r="D7" s="5" t="n">
        <v>46091</v>
      </c>
      <c r="E7" s="5" t="n">
        <v>46092</v>
      </c>
      <c r="F7" s="5" t="n">
        <v>46093</v>
      </c>
      <c r="G7" s="5" t="n">
        <v>46094</v>
      </c>
      <c r="H7" s="5" t="n">
        <v>46097</v>
      </c>
      <c r="I7" s="5" t="n">
        <v>46098</v>
      </c>
      <c r="J7" s="5" t="n">
        <v>46099</v>
      </c>
      <c r="K7" s="5" t="n">
        <v>46100</v>
      </c>
      <c r="L7" s="5" t="n">
        <v>46101</v>
      </c>
      <c r="M7" s="5" t="n">
        <v>46105</v>
      </c>
      <c r="P7" t="n">
        <v>5</v>
      </c>
      <c r="Q7" s="5" t="n">
        <v>46248</v>
      </c>
    </row>
    <row r="8">
      <c r="A8" t="inlineStr">
        <is>
          <t>IVA bimestral</t>
        </is>
      </c>
      <c r="B8" t="inlineStr">
        <is>
          <t>marzo–abril</t>
        </is>
      </c>
      <c r="C8" t="inlineStr">
        <is>
          <t>2026-05</t>
        </is>
      </c>
      <c r="D8" s="5" t="n">
        <v>46154</v>
      </c>
      <c r="E8" s="5" t="n">
        <v>46155</v>
      </c>
      <c r="F8" s="5" t="n">
        <v>46156</v>
      </c>
      <c r="G8" s="5" t="n">
        <v>46157</v>
      </c>
      <c r="H8" s="5" t="n">
        <v>46161</v>
      </c>
      <c r="I8" s="5" t="n">
        <v>46162</v>
      </c>
      <c r="J8" s="5" t="n">
        <v>46163</v>
      </c>
      <c r="K8" s="5" t="n">
        <v>46164</v>
      </c>
      <c r="L8" s="5" t="n">
        <v>46167</v>
      </c>
      <c r="M8" s="5" t="n">
        <v>46168</v>
      </c>
      <c r="P8" t="n">
        <v>6</v>
      </c>
      <c r="Q8" s="5" t="n">
        <v>46248</v>
      </c>
    </row>
    <row r="9">
      <c r="A9" t="inlineStr">
        <is>
          <t>IVA bimestral</t>
        </is>
      </c>
      <c r="B9" t="inlineStr">
        <is>
          <t>mayo–junio</t>
        </is>
      </c>
      <c r="C9" t="inlineStr">
        <is>
          <t>2026-07</t>
        </is>
      </c>
      <c r="D9" s="5" t="n">
        <v>46212</v>
      </c>
      <c r="E9" s="5" t="n">
        <v>46213</v>
      </c>
      <c r="F9" s="5" t="n">
        <v>46217</v>
      </c>
      <c r="G9" s="5" t="n">
        <v>46218</v>
      </c>
      <c r="H9" s="5" t="n">
        <v>46219</v>
      </c>
      <c r="I9" s="5" t="n">
        <v>46220</v>
      </c>
      <c r="J9" s="5" t="n">
        <v>46224</v>
      </c>
      <c r="K9" s="5" t="n">
        <v>46225</v>
      </c>
      <c r="L9" s="5" t="n">
        <v>46226</v>
      </c>
      <c r="M9" s="5" t="n">
        <v>46227</v>
      </c>
      <c r="P9" t="n">
        <v>7</v>
      </c>
      <c r="Q9" s="5" t="n">
        <v>46252</v>
      </c>
    </row>
    <row r="10">
      <c r="A10" t="inlineStr">
        <is>
          <t>IVA bimestral</t>
        </is>
      </c>
      <c r="B10" t="inlineStr">
        <is>
          <t>julio–agosto</t>
        </is>
      </c>
      <c r="C10" t="inlineStr">
        <is>
          <t>2026-09</t>
        </is>
      </c>
      <c r="D10" s="5" t="n">
        <v>46274</v>
      </c>
      <c r="E10" s="5" t="n">
        <v>46275</v>
      </c>
      <c r="F10" s="5" t="n">
        <v>46276</v>
      </c>
      <c r="G10" s="5" t="n">
        <v>46279</v>
      </c>
      <c r="H10" s="5" t="n">
        <v>46280</v>
      </c>
      <c r="I10" s="5" t="n">
        <v>46281</v>
      </c>
      <c r="J10" s="5" t="n">
        <v>46282</v>
      </c>
      <c r="K10" s="5" t="n">
        <v>46283</v>
      </c>
      <c r="L10" s="5" t="n">
        <v>46286</v>
      </c>
      <c r="M10" s="5" t="n">
        <v>46287</v>
      </c>
      <c r="P10" t="n">
        <v>8</v>
      </c>
      <c r="Q10" s="5" t="n">
        <v>46252</v>
      </c>
    </row>
    <row r="11">
      <c r="A11" t="inlineStr">
        <is>
          <t>IVA bimestral</t>
        </is>
      </c>
      <c r="B11" t="inlineStr">
        <is>
          <t>septiembre–octubre</t>
        </is>
      </c>
      <c r="C11" t="inlineStr">
        <is>
          <t>2026-11</t>
        </is>
      </c>
      <c r="D11" s="5" t="n">
        <v>46337</v>
      </c>
      <c r="E11" s="5" t="n">
        <v>46338</v>
      </c>
      <c r="F11" s="5" t="n">
        <v>46339</v>
      </c>
      <c r="G11" s="5" t="n">
        <v>46343</v>
      </c>
      <c r="H11" s="5" t="n">
        <v>46344</v>
      </c>
      <c r="I11" s="5" t="n">
        <v>46345</v>
      </c>
      <c r="J11" s="5" t="n">
        <v>46346</v>
      </c>
      <c r="K11" s="5" t="n">
        <v>46349</v>
      </c>
      <c r="L11" s="5" t="n">
        <v>46350</v>
      </c>
      <c r="M11" s="5" t="n">
        <v>46351</v>
      </c>
      <c r="P11" t="n">
        <v>9</v>
      </c>
      <c r="Q11" s="5" t="n">
        <v>46253</v>
      </c>
    </row>
    <row r="12">
      <c r="A12" t="inlineStr">
        <is>
          <t>IVA bimestral</t>
        </is>
      </c>
      <c r="B12" t="inlineStr">
        <is>
          <t>noviembre–diciembre</t>
        </is>
      </c>
      <c r="C12" t="inlineStr">
        <is>
          <t>2027-01</t>
        </is>
      </c>
      <c r="D12" s="5" t="n">
        <v>46400</v>
      </c>
      <c r="E12" s="5" t="n">
        <v>46401</v>
      </c>
      <c r="F12" s="5" t="n">
        <v>46402</v>
      </c>
      <c r="G12" s="5" t="n">
        <v>46405</v>
      </c>
      <c r="H12" s="5" t="n">
        <v>46406</v>
      </c>
      <c r="I12" s="5" t="n">
        <v>46407</v>
      </c>
      <c r="J12" s="5" t="n">
        <v>46408</v>
      </c>
      <c r="K12" s="5" t="n">
        <v>46409</v>
      </c>
      <c r="L12" s="5" t="n">
        <v>46412</v>
      </c>
      <c r="M12" s="5" t="n">
        <v>46413</v>
      </c>
      <c r="P12" t="n">
        <v>10</v>
      </c>
      <c r="Q12" s="5" t="n">
        <v>46253</v>
      </c>
    </row>
    <row r="13">
      <c r="A13" t="inlineStr">
        <is>
          <t>IVA cuatrimestral</t>
        </is>
      </c>
      <c r="B13" t="inlineStr">
        <is>
          <t>enero–abril</t>
        </is>
      </c>
      <c r="C13" t="inlineStr">
        <is>
          <t>2026-05</t>
        </is>
      </c>
      <c r="D13" s="5" t="n">
        <v>46154</v>
      </c>
      <c r="E13" s="5" t="n">
        <v>46155</v>
      </c>
      <c r="F13" s="5" t="n">
        <v>46156</v>
      </c>
      <c r="G13" s="5" t="n">
        <v>46157</v>
      </c>
      <c r="H13" s="5" t="n">
        <v>46161</v>
      </c>
      <c r="I13" s="5" t="n">
        <v>46162</v>
      </c>
      <c r="J13" s="5" t="n">
        <v>46163</v>
      </c>
      <c r="K13" s="5" t="n">
        <v>46164</v>
      </c>
      <c r="L13" s="5" t="n">
        <v>46167</v>
      </c>
      <c r="M13" s="5" t="n">
        <v>46168</v>
      </c>
      <c r="P13" t="n">
        <v>11</v>
      </c>
      <c r="Q13" s="5" t="n">
        <v>46254</v>
      </c>
    </row>
    <row r="14">
      <c r="A14" t="inlineStr">
        <is>
          <t>IVA cuatrimestral</t>
        </is>
      </c>
      <c r="B14" t="inlineStr">
        <is>
          <t>mayo–agosto</t>
        </is>
      </c>
      <c r="C14" t="inlineStr">
        <is>
          <t>2026-09</t>
        </is>
      </c>
      <c r="D14" s="5" t="n">
        <v>46274</v>
      </c>
      <c r="E14" s="5" t="n">
        <v>46275</v>
      </c>
      <c r="F14" s="5" t="n">
        <v>46276</v>
      </c>
      <c r="G14" s="5" t="n">
        <v>46279</v>
      </c>
      <c r="H14" s="5" t="n">
        <v>46280</v>
      </c>
      <c r="I14" s="5" t="n">
        <v>46281</v>
      </c>
      <c r="J14" s="5" t="n">
        <v>46282</v>
      </c>
      <c r="K14" s="5" t="n">
        <v>46283</v>
      </c>
      <c r="L14" s="5" t="n">
        <v>46286</v>
      </c>
      <c r="M14" s="5" t="n">
        <v>46287</v>
      </c>
      <c r="P14" t="n">
        <v>12</v>
      </c>
      <c r="Q14" s="5" t="n">
        <v>46254</v>
      </c>
    </row>
    <row r="15">
      <c r="A15" t="inlineStr">
        <is>
          <t>IVA cuatrimestral</t>
        </is>
      </c>
      <c r="B15" t="inlineStr">
        <is>
          <t>septiembre–diciembre</t>
        </is>
      </c>
      <c r="C15" t="inlineStr">
        <is>
          <t>2027-01</t>
        </is>
      </c>
      <c r="D15" s="5" t="n">
        <v>46400</v>
      </c>
      <c r="E15" s="5" t="n">
        <v>46401</v>
      </c>
      <c r="F15" s="5" t="n">
        <v>46402</v>
      </c>
      <c r="G15" s="5" t="n">
        <v>46405</v>
      </c>
      <c r="H15" s="5" t="n">
        <v>46406</v>
      </c>
      <c r="I15" s="5" t="n">
        <v>46407</v>
      </c>
      <c r="J15" s="5" t="n">
        <v>46408</v>
      </c>
      <c r="K15" s="5" t="n">
        <v>46409</v>
      </c>
      <c r="L15" s="5" t="n">
        <v>46412</v>
      </c>
      <c r="M15" s="5" t="n">
        <v>46413</v>
      </c>
      <c r="P15" t="n">
        <v>13</v>
      </c>
      <c r="Q15" s="5" t="n">
        <v>46255</v>
      </c>
    </row>
    <row r="16">
      <c r="A16" t="inlineStr">
        <is>
          <t>Retención en la fuente</t>
        </is>
      </c>
      <c r="B16" t="inlineStr">
        <is>
          <t>enero</t>
        </is>
      </c>
      <c r="C16" t="inlineStr">
        <is>
          <t>2026-02</t>
        </is>
      </c>
      <c r="D16" s="5" t="n">
        <v>46063</v>
      </c>
      <c r="E16" s="5" t="n">
        <v>46064</v>
      </c>
      <c r="F16" s="5" t="n">
        <v>46065</v>
      </c>
      <c r="G16" s="5" t="n">
        <v>46066</v>
      </c>
      <c r="H16" s="5" t="n">
        <v>46069</v>
      </c>
      <c r="I16" s="5" t="n">
        <v>46070</v>
      </c>
      <c r="J16" s="5" t="n">
        <v>46071</v>
      </c>
      <c r="K16" s="5" t="n">
        <v>46072</v>
      </c>
      <c r="L16" s="5" t="n">
        <v>46073</v>
      </c>
      <c r="M16" s="5" t="n">
        <v>46076</v>
      </c>
      <c r="P16" t="n">
        <v>14</v>
      </c>
      <c r="Q16" s="5" t="n">
        <v>46255</v>
      </c>
    </row>
    <row r="17">
      <c r="A17" t="inlineStr">
        <is>
          <t>Retención en la fuente</t>
        </is>
      </c>
      <c r="B17" t="inlineStr">
        <is>
          <t>febrero</t>
        </is>
      </c>
      <c r="C17" t="inlineStr">
        <is>
          <t>2026-03</t>
        </is>
      </c>
      <c r="D17" s="5" t="n">
        <v>46091</v>
      </c>
      <c r="E17" s="5" t="n">
        <v>46092</v>
      </c>
      <c r="F17" s="5" t="n">
        <v>46093</v>
      </c>
      <c r="G17" s="5" t="n">
        <v>46094</v>
      </c>
      <c r="H17" s="5" t="n">
        <v>46097</v>
      </c>
      <c r="I17" s="5" t="n">
        <v>46098</v>
      </c>
      <c r="J17" s="5" t="n">
        <v>46099</v>
      </c>
      <c r="K17" s="5" t="n">
        <v>46100</v>
      </c>
      <c r="L17" s="5" t="n">
        <v>46101</v>
      </c>
      <c r="M17" s="5" t="n">
        <v>46105</v>
      </c>
      <c r="P17" t="n">
        <v>15</v>
      </c>
      <c r="Q17" s="5" t="n">
        <v>46258</v>
      </c>
    </row>
    <row r="18">
      <c r="A18" t="inlineStr">
        <is>
          <t>Retención en la fuente</t>
        </is>
      </c>
      <c r="B18" t="inlineStr">
        <is>
          <t>marzo</t>
        </is>
      </c>
      <c r="C18" t="inlineStr">
        <is>
          <t>2026-04</t>
        </is>
      </c>
      <c r="D18" s="5" t="n">
        <v>46125</v>
      </c>
      <c r="E18" s="5" t="n">
        <v>46126</v>
      </c>
      <c r="F18" s="5" t="n">
        <v>46127</v>
      </c>
      <c r="G18" s="5" t="n">
        <v>46128</v>
      </c>
      <c r="H18" s="5" t="n">
        <v>46132</v>
      </c>
      <c r="I18" s="5" t="n">
        <v>46133</v>
      </c>
      <c r="J18" s="5" t="n">
        <v>46134</v>
      </c>
      <c r="K18" s="5" t="n">
        <v>46135</v>
      </c>
      <c r="L18" s="5" t="n">
        <v>46136</v>
      </c>
      <c r="M18" s="5" t="n">
        <v>46139</v>
      </c>
      <c r="P18" t="n">
        <v>16</v>
      </c>
      <c r="Q18" s="5" t="n">
        <v>46258</v>
      </c>
    </row>
    <row r="19">
      <c r="A19" t="inlineStr">
        <is>
          <t>Retención en la fuente</t>
        </is>
      </c>
      <c r="B19" t="inlineStr">
        <is>
          <t>abril</t>
        </is>
      </c>
      <c r="C19" t="inlineStr">
        <is>
          <t>2026-05</t>
        </is>
      </c>
      <c r="D19" s="5" t="n">
        <v>46154</v>
      </c>
      <c r="E19" s="5" t="n">
        <v>46155</v>
      </c>
      <c r="F19" s="5" t="n">
        <v>46156</v>
      </c>
      <c r="G19" s="5" t="n">
        <v>46157</v>
      </c>
      <c r="H19" s="5" t="n">
        <v>46161</v>
      </c>
      <c r="I19" s="5" t="n">
        <v>46162</v>
      </c>
      <c r="J19" s="5" t="n">
        <v>46163</v>
      </c>
      <c r="K19" s="5" t="n">
        <v>46164</v>
      </c>
      <c r="L19" s="5" t="n">
        <v>46167</v>
      </c>
      <c r="M19" s="5" t="n">
        <v>46168</v>
      </c>
      <c r="P19" t="n">
        <v>17</v>
      </c>
      <c r="Q19" s="5" t="n">
        <v>46259</v>
      </c>
    </row>
    <row r="20">
      <c r="A20" t="inlineStr">
        <is>
          <t>Retención en la fuente</t>
        </is>
      </c>
      <c r="B20" t="inlineStr">
        <is>
          <t>mayo</t>
        </is>
      </c>
      <c r="C20" t="inlineStr">
        <is>
          <t>2026-06</t>
        </is>
      </c>
      <c r="D20" s="5" t="n">
        <v>46183</v>
      </c>
      <c r="E20" s="5" t="n">
        <v>46184</v>
      </c>
      <c r="F20" s="5" t="n">
        <v>46185</v>
      </c>
      <c r="G20" s="5" t="n">
        <v>46189</v>
      </c>
      <c r="H20" s="5" t="n">
        <v>46190</v>
      </c>
      <c r="I20" s="5" t="n">
        <v>46191</v>
      </c>
      <c r="J20" s="5" t="n">
        <v>46192</v>
      </c>
      <c r="K20" s="5" t="n">
        <v>46195</v>
      </c>
      <c r="L20" s="5" t="n">
        <v>46196</v>
      </c>
      <c r="M20" s="5" t="n">
        <v>46197</v>
      </c>
      <c r="P20" t="n">
        <v>18</v>
      </c>
      <c r="Q20" s="5" t="n">
        <v>46259</v>
      </c>
    </row>
    <row r="21">
      <c r="A21" t="inlineStr">
        <is>
          <t>Retención en la fuente</t>
        </is>
      </c>
      <c r="B21" t="inlineStr">
        <is>
          <t>junio</t>
        </is>
      </c>
      <c r="C21" t="inlineStr">
        <is>
          <t>2026-07</t>
        </is>
      </c>
      <c r="D21" s="5" t="n">
        <v>46212</v>
      </c>
      <c r="E21" s="5" t="n">
        <v>46213</v>
      </c>
      <c r="F21" s="5" t="n">
        <v>46217</v>
      </c>
      <c r="G21" s="5" t="n">
        <v>46218</v>
      </c>
      <c r="H21" s="5" t="n">
        <v>46219</v>
      </c>
      <c r="I21" s="5" t="n">
        <v>46220</v>
      </c>
      <c r="J21" s="5" t="n">
        <v>46224</v>
      </c>
      <c r="K21" s="5" t="n">
        <v>46225</v>
      </c>
      <c r="L21" s="5" t="n">
        <v>46226</v>
      </c>
      <c r="M21" s="5" t="n">
        <v>46227</v>
      </c>
      <c r="P21" t="n">
        <v>19</v>
      </c>
      <c r="Q21" s="5" t="n">
        <v>46260</v>
      </c>
    </row>
    <row r="22">
      <c r="A22" t="inlineStr">
        <is>
          <t>Retención en la fuente</t>
        </is>
      </c>
      <c r="B22" t="inlineStr">
        <is>
          <t>julio</t>
        </is>
      </c>
      <c r="C22" t="inlineStr">
        <is>
          <t>2026-08</t>
        </is>
      </c>
      <c r="D22" s="5" t="n">
        <v>46246</v>
      </c>
      <c r="E22" s="5" t="n">
        <v>46247</v>
      </c>
      <c r="F22" s="5" t="n">
        <v>46248</v>
      </c>
      <c r="G22" s="5" t="n">
        <v>46252</v>
      </c>
      <c r="H22" s="5" t="n">
        <v>46253</v>
      </c>
      <c r="I22" s="5" t="n">
        <v>46254</v>
      </c>
      <c r="J22" s="5" t="n">
        <v>46255</v>
      </c>
      <c r="K22" s="5" t="n">
        <v>46258</v>
      </c>
      <c r="L22" s="5" t="n">
        <v>46259</v>
      </c>
      <c r="M22" s="5" t="n">
        <v>46260</v>
      </c>
      <c r="P22" t="n">
        <v>20</v>
      </c>
      <c r="Q22" s="5" t="n">
        <v>46260</v>
      </c>
    </row>
    <row r="23">
      <c r="A23" t="inlineStr">
        <is>
          <t>Retención en la fuente</t>
        </is>
      </c>
      <c r="B23" t="inlineStr">
        <is>
          <t>agosto</t>
        </is>
      </c>
      <c r="C23" t="inlineStr">
        <is>
          <t>2026-09</t>
        </is>
      </c>
      <c r="D23" s="5" t="n">
        <v>46274</v>
      </c>
      <c r="E23" s="5" t="n">
        <v>46275</v>
      </c>
      <c r="F23" s="5" t="n">
        <v>46276</v>
      </c>
      <c r="G23" s="5" t="n">
        <v>46279</v>
      </c>
      <c r="H23" s="5" t="n">
        <v>46280</v>
      </c>
      <c r="I23" s="5" t="n">
        <v>46281</v>
      </c>
      <c r="J23" s="5" t="n">
        <v>46282</v>
      </c>
      <c r="K23" s="5" t="n">
        <v>46283</v>
      </c>
      <c r="L23" s="5" t="n">
        <v>46286</v>
      </c>
      <c r="M23" s="5" t="n">
        <v>46287</v>
      </c>
      <c r="P23" t="n">
        <v>21</v>
      </c>
      <c r="Q23" s="5" t="n">
        <v>46261</v>
      </c>
    </row>
    <row r="24">
      <c r="A24" t="inlineStr">
        <is>
          <t>Retención en la fuente</t>
        </is>
      </c>
      <c r="B24" t="inlineStr">
        <is>
          <t>septiembre</t>
        </is>
      </c>
      <c r="C24" t="inlineStr">
        <is>
          <t>2026-10</t>
        </is>
      </c>
      <c r="D24" s="5" t="n">
        <v>46304</v>
      </c>
      <c r="E24" s="5" t="n">
        <v>46308</v>
      </c>
      <c r="F24" s="5" t="n">
        <v>46309</v>
      </c>
      <c r="G24" s="5" t="n">
        <v>46310</v>
      </c>
      <c r="H24" s="5" t="n">
        <v>46311</v>
      </c>
      <c r="I24" s="5" t="n">
        <v>46314</v>
      </c>
      <c r="J24" s="5" t="n">
        <v>46315</v>
      </c>
      <c r="K24" s="5" t="n">
        <v>46316</v>
      </c>
      <c r="L24" s="5" t="n">
        <v>46317</v>
      </c>
      <c r="M24" s="5" t="n">
        <v>46318</v>
      </c>
      <c r="P24" t="n">
        <v>22</v>
      </c>
      <c r="Q24" s="5" t="n">
        <v>46261</v>
      </c>
    </row>
    <row r="25">
      <c r="A25" t="inlineStr">
        <is>
          <t>Retención en la fuente</t>
        </is>
      </c>
      <c r="B25" t="inlineStr">
        <is>
          <t>octubre</t>
        </is>
      </c>
      <c r="C25" t="inlineStr">
        <is>
          <t>2026-11</t>
        </is>
      </c>
      <c r="D25" s="5" t="n">
        <v>46337</v>
      </c>
      <c r="E25" s="5" t="n">
        <v>46338</v>
      </c>
      <c r="F25" s="5" t="n">
        <v>46339</v>
      </c>
      <c r="G25" s="5" t="n">
        <v>46343</v>
      </c>
      <c r="H25" s="5" t="n">
        <v>46344</v>
      </c>
      <c r="I25" s="5" t="n">
        <v>46345</v>
      </c>
      <c r="J25" s="5" t="n">
        <v>46346</v>
      </c>
      <c r="K25" s="5" t="n">
        <v>46349</v>
      </c>
      <c r="L25" s="5" t="n">
        <v>46350</v>
      </c>
      <c r="M25" s="5" t="n">
        <v>46351</v>
      </c>
      <c r="P25" t="n">
        <v>23</v>
      </c>
      <c r="Q25" s="5" t="n">
        <v>46262</v>
      </c>
    </row>
    <row r="26">
      <c r="A26" t="inlineStr">
        <is>
          <t>Retención en la fuente</t>
        </is>
      </c>
      <c r="B26" t="inlineStr">
        <is>
          <t>noviembre</t>
        </is>
      </c>
      <c r="C26" t="inlineStr">
        <is>
          <t>2026-12</t>
        </is>
      </c>
      <c r="D26" s="5" t="n">
        <v>46366</v>
      </c>
      <c r="E26" s="5" t="n">
        <v>46367</v>
      </c>
      <c r="F26" s="5" t="n">
        <v>46370</v>
      </c>
      <c r="G26" s="5" t="n">
        <v>46371</v>
      </c>
      <c r="H26" s="5" t="n">
        <v>46372</v>
      </c>
      <c r="I26" s="5" t="n">
        <v>46373</v>
      </c>
      <c r="J26" s="5" t="n">
        <v>46374</v>
      </c>
      <c r="K26" s="5" t="n">
        <v>46377</v>
      </c>
      <c r="L26" s="5" t="n">
        <v>46378</v>
      </c>
      <c r="M26" s="5" t="n">
        <v>46379</v>
      </c>
      <c r="P26" t="n">
        <v>24</v>
      </c>
      <c r="Q26" s="5" t="n">
        <v>46262</v>
      </c>
    </row>
    <row r="27">
      <c r="A27" t="inlineStr">
        <is>
          <t>Retención en la fuente</t>
        </is>
      </c>
      <c r="B27" t="inlineStr">
        <is>
          <t>diciembre</t>
        </is>
      </c>
      <c r="C27" t="inlineStr">
        <is>
          <t>2027-01</t>
        </is>
      </c>
      <c r="D27" s="5" t="n">
        <v>46400</v>
      </c>
      <c r="E27" s="5" t="n">
        <v>46401</v>
      </c>
      <c r="F27" s="5" t="n">
        <v>46402</v>
      </c>
      <c r="G27" s="5" t="n">
        <v>46405</v>
      </c>
      <c r="H27" s="5" t="n">
        <v>46406</v>
      </c>
      <c r="I27" s="5" t="n">
        <v>46407</v>
      </c>
      <c r="J27" s="5" t="n">
        <v>46408</v>
      </c>
      <c r="K27" s="5" t="n">
        <v>46409</v>
      </c>
      <c r="L27" s="5" t="n">
        <v>46412</v>
      </c>
      <c r="M27" s="5" t="n">
        <v>46413</v>
      </c>
      <c r="P27" t="n">
        <v>25</v>
      </c>
      <c r="Q27" s="5" t="n">
        <v>46265</v>
      </c>
    </row>
    <row r="28">
      <c r="A28" t="inlineStr">
        <is>
          <t>Régimen Simple · anticipo</t>
        </is>
      </c>
      <c r="B28" t="inlineStr">
        <is>
          <t>enero–febrero</t>
        </is>
      </c>
      <c r="C28" t="inlineStr">
        <is>
          <t>2026-05</t>
        </is>
      </c>
      <c r="D28" s="5" t="n">
        <v>46154</v>
      </c>
      <c r="E28" s="5" t="n">
        <v>46155</v>
      </c>
      <c r="F28" s="5" t="n">
        <v>46156</v>
      </c>
      <c r="G28" s="5" t="n">
        <v>46157</v>
      </c>
      <c r="H28" s="5" t="n">
        <v>46161</v>
      </c>
      <c r="I28" s="5" t="n">
        <v>46162</v>
      </c>
      <c r="J28" s="5" t="n">
        <v>46163</v>
      </c>
      <c r="K28" s="5" t="n">
        <v>46164</v>
      </c>
      <c r="L28" s="5" t="n">
        <v>46167</v>
      </c>
      <c r="M28" s="5" t="n">
        <v>46168</v>
      </c>
      <c r="P28" t="n">
        <v>26</v>
      </c>
      <c r="Q28" s="5" t="n">
        <v>46265</v>
      </c>
    </row>
    <row r="29">
      <c r="A29" t="inlineStr">
        <is>
          <t>Régimen Simple · anticipo</t>
        </is>
      </c>
      <c r="B29" t="inlineStr">
        <is>
          <t>marzo–abril</t>
        </is>
      </c>
      <c r="C29" t="inlineStr">
        <is>
          <t>2026-06</t>
        </is>
      </c>
      <c r="D29" s="5" t="n">
        <v>46183</v>
      </c>
      <c r="E29" s="5" t="n">
        <v>46184</v>
      </c>
      <c r="F29" s="5" t="n">
        <v>46185</v>
      </c>
      <c r="G29" s="5" t="n">
        <v>46189</v>
      </c>
      <c r="H29" s="5" t="n">
        <v>46190</v>
      </c>
      <c r="I29" s="5" t="n">
        <v>46191</v>
      </c>
      <c r="J29" s="5" t="n">
        <v>46192</v>
      </c>
      <c r="K29" s="5" t="n">
        <v>46195</v>
      </c>
      <c r="L29" s="5" t="n">
        <v>46196</v>
      </c>
      <c r="M29" s="5" t="n">
        <v>46197</v>
      </c>
      <c r="P29" t="n">
        <v>27</v>
      </c>
      <c r="Q29" s="5" t="n">
        <v>46266</v>
      </c>
    </row>
    <row r="30">
      <c r="A30" t="inlineStr">
        <is>
          <t>Régimen Simple · anticipo</t>
        </is>
      </c>
      <c r="B30" t="inlineStr">
        <is>
          <t>mayo–junio</t>
        </is>
      </c>
      <c r="C30" t="inlineStr">
        <is>
          <t>2026-07</t>
        </is>
      </c>
      <c r="D30" s="5" t="n">
        <v>46212</v>
      </c>
      <c r="E30" s="5" t="n">
        <v>46213</v>
      </c>
      <c r="F30" s="5" t="n">
        <v>46217</v>
      </c>
      <c r="G30" s="5" t="n">
        <v>46218</v>
      </c>
      <c r="H30" s="5" t="n">
        <v>46219</v>
      </c>
      <c r="I30" s="5" t="n">
        <v>46220</v>
      </c>
      <c r="J30" s="5" t="n">
        <v>46224</v>
      </c>
      <c r="K30" s="5" t="n">
        <v>46225</v>
      </c>
      <c r="L30" s="5" t="n">
        <v>46226</v>
      </c>
      <c r="M30" s="5" t="n">
        <v>46227</v>
      </c>
      <c r="P30" t="n">
        <v>28</v>
      </c>
      <c r="Q30" s="5" t="n">
        <v>46266</v>
      </c>
    </row>
    <row r="31">
      <c r="A31" t="inlineStr">
        <is>
          <t>Régimen Simple · anticipo</t>
        </is>
      </c>
      <c r="B31" t="inlineStr">
        <is>
          <t>julio–agosto</t>
        </is>
      </c>
      <c r="C31" t="inlineStr">
        <is>
          <t>2026-09</t>
        </is>
      </c>
      <c r="D31" s="5" t="n">
        <v>46274</v>
      </c>
      <c r="E31" s="5" t="n">
        <v>46275</v>
      </c>
      <c r="F31" s="5" t="n">
        <v>46276</v>
      </c>
      <c r="G31" s="5" t="n">
        <v>46279</v>
      </c>
      <c r="H31" s="5" t="n">
        <v>46280</v>
      </c>
      <c r="I31" s="5" t="n">
        <v>46281</v>
      </c>
      <c r="J31" s="5" t="n">
        <v>46282</v>
      </c>
      <c r="K31" s="5" t="n">
        <v>46283</v>
      </c>
      <c r="L31" s="5" t="n">
        <v>46286</v>
      </c>
      <c r="M31" s="5" t="n">
        <v>46287</v>
      </c>
      <c r="P31" t="n">
        <v>29</v>
      </c>
      <c r="Q31" s="5" t="n">
        <v>46267</v>
      </c>
    </row>
    <row r="32">
      <c r="A32" t="inlineStr">
        <is>
          <t>Régimen Simple · anticipo</t>
        </is>
      </c>
      <c r="B32" t="inlineStr">
        <is>
          <t>septiembre–octubre</t>
        </is>
      </c>
      <c r="C32" t="inlineStr">
        <is>
          <t>2026-11</t>
        </is>
      </c>
      <c r="D32" s="5" t="n">
        <v>46337</v>
      </c>
      <c r="E32" s="5" t="n">
        <v>46338</v>
      </c>
      <c r="F32" s="5" t="n">
        <v>46339</v>
      </c>
      <c r="G32" s="5" t="n">
        <v>46343</v>
      </c>
      <c r="H32" s="5" t="n">
        <v>46344</v>
      </c>
      <c r="I32" s="5" t="n">
        <v>46345</v>
      </c>
      <c r="J32" s="5" t="n">
        <v>46346</v>
      </c>
      <c r="K32" s="5" t="n">
        <v>46349</v>
      </c>
      <c r="L32" s="5" t="n">
        <v>46350</v>
      </c>
      <c r="M32" s="5" t="n">
        <v>46351</v>
      </c>
      <c r="P32" t="n">
        <v>30</v>
      </c>
      <c r="Q32" s="5" t="n">
        <v>46267</v>
      </c>
    </row>
    <row r="33">
      <c r="A33" t="inlineStr">
        <is>
          <t>Régimen Simple · anticipo</t>
        </is>
      </c>
      <c r="B33" t="inlineStr">
        <is>
          <t>noviembre–diciembre</t>
        </is>
      </c>
      <c r="C33" t="inlineStr">
        <is>
          <t>2027-01</t>
        </is>
      </c>
      <c r="D33" s="5" t="n">
        <v>46400</v>
      </c>
      <c r="E33" s="5" t="n">
        <v>46401</v>
      </c>
      <c r="F33" s="5" t="n">
        <v>46402</v>
      </c>
      <c r="G33" s="5" t="n">
        <v>46405</v>
      </c>
      <c r="H33" s="5" t="n">
        <v>46406</v>
      </c>
      <c r="I33" s="5" t="n">
        <v>46407</v>
      </c>
      <c r="J33" s="5" t="n">
        <v>46408</v>
      </c>
      <c r="K33" s="5" t="n">
        <v>46409</v>
      </c>
      <c r="L33" s="5" t="n">
        <v>46412</v>
      </c>
      <c r="M33" s="5" t="n">
        <v>46413</v>
      </c>
      <c r="P33" t="n">
        <v>31</v>
      </c>
      <c r="Q33" s="5" t="n">
        <v>46268</v>
      </c>
    </row>
    <row r="34">
      <c r="A34" t="inlineStr">
        <is>
          <t>Régimen Simple · declaración anual</t>
        </is>
      </c>
      <c r="B34" t="inlineStr">
        <is>
          <t>año 2025</t>
        </is>
      </c>
      <c r="C34" t="inlineStr">
        <is>
          <t>2026-04</t>
        </is>
      </c>
      <c r="D34" s="5" t="n">
        <v>46132</v>
      </c>
      <c r="E34" s="5" t="n">
        <v>46132</v>
      </c>
      <c r="F34" s="5" t="n">
        <v>46133</v>
      </c>
      <c r="G34" s="5" t="n">
        <v>46133</v>
      </c>
      <c r="H34" s="5" t="n">
        <v>46134</v>
      </c>
      <c r="I34" s="5" t="n">
        <v>46134</v>
      </c>
      <c r="J34" s="5" t="n">
        <v>46135</v>
      </c>
      <c r="K34" s="5" t="n">
        <v>46135</v>
      </c>
      <c r="L34" s="5" t="n">
        <v>46136</v>
      </c>
      <c r="M34" s="5" t="n">
        <v>46136</v>
      </c>
      <c r="P34" t="n">
        <v>32</v>
      </c>
      <c r="Q34" s="5" t="n">
        <v>46268</v>
      </c>
    </row>
    <row r="35">
      <c r="A35" t="inlineStr">
        <is>
          <t>Régimen Simple · IVA anual consolidado</t>
        </is>
      </c>
      <c r="B35" t="inlineStr">
        <is>
          <t>año 2025</t>
        </is>
      </c>
      <c r="C35" t="inlineStr">
        <is>
          <t>2026-02</t>
        </is>
      </c>
      <c r="D35" s="5" t="n">
        <v>46069</v>
      </c>
      <c r="E35" s="5" t="n">
        <v>46069</v>
      </c>
      <c r="F35" s="5" t="n">
        <v>46070</v>
      </c>
      <c r="G35" s="5" t="n">
        <v>46070</v>
      </c>
      <c r="H35" s="5" t="n">
        <v>46071</v>
      </c>
      <c r="I35" s="5" t="n">
        <v>46071</v>
      </c>
      <c r="J35" s="5" t="n">
        <v>46072</v>
      </c>
      <c r="K35" s="5" t="n">
        <v>46072</v>
      </c>
      <c r="L35" s="5" t="n">
        <v>46073</v>
      </c>
      <c r="M35" s="5" t="n">
        <v>46073</v>
      </c>
      <c r="P35" t="n">
        <v>33</v>
      </c>
      <c r="Q35" s="5" t="n">
        <v>46269</v>
      </c>
    </row>
    <row r="36">
      <c r="P36" t="n">
        <v>34</v>
      </c>
      <c r="Q36" s="5" t="n">
        <v>46269</v>
      </c>
    </row>
    <row r="37">
      <c r="P37" t="n">
        <v>35</v>
      </c>
      <c r="Q37" s="5" t="n">
        <v>46272</v>
      </c>
    </row>
    <row r="38">
      <c r="P38" t="n">
        <v>36</v>
      </c>
      <c r="Q38" s="5" t="n">
        <v>46272</v>
      </c>
    </row>
    <row r="39">
      <c r="P39" t="n">
        <v>37</v>
      </c>
      <c r="Q39" s="5" t="n">
        <v>46273</v>
      </c>
    </row>
    <row r="40">
      <c r="P40" t="n">
        <v>38</v>
      </c>
      <c r="Q40" s="5" t="n">
        <v>46273</v>
      </c>
    </row>
    <row r="41">
      <c r="P41" t="n">
        <v>39</v>
      </c>
      <c r="Q41" s="5" t="n">
        <v>46274</v>
      </c>
    </row>
    <row r="42">
      <c r="P42" t="n">
        <v>40</v>
      </c>
      <c r="Q42" s="5" t="n">
        <v>46274</v>
      </c>
    </row>
    <row r="43">
      <c r="P43" t="n">
        <v>41</v>
      </c>
      <c r="Q43" s="5" t="n">
        <v>46275</v>
      </c>
    </row>
    <row r="44">
      <c r="P44" t="n">
        <v>42</v>
      </c>
      <c r="Q44" s="5" t="n">
        <v>46275</v>
      </c>
    </row>
    <row r="45">
      <c r="P45" t="n">
        <v>43</v>
      </c>
      <c r="Q45" s="5" t="n">
        <v>46276</v>
      </c>
    </row>
    <row r="46">
      <c r="P46" t="n">
        <v>44</v>
      </c>
      <c r="Q46" s="5" t="n">
        <v>46276</v>
      </c>
    </row>
    <row r="47">
      <c r="P47" t="n">
        <v>45</v>
      </c>
      <c r="Q47" s="5" t="n">
        <v>46279</v>
      </c>
    </row>
    <row r="48">
      <c r="P48" t="n">
        <v>46</v>
      </c>
      <c r="Q48" s="5" t="n">
        <v>46279</v>
      </c>
    </row>
    <row r="49">
      <c r="P49" t="n">
        <v>47</v>
      </c>
      <c r="Q49" s="5" t="n">
        <v>46280</v>
      </c>
    </row>
    <row r="50">
      <c r="P50" t="n">
        <v>48</v>
      </c>
      <c r="Q50" s="5" t="n">
        <v>46280</v>
      </c>
    </row>
    <row r="51">
      <c r="P51" t="n">
        <v>49</v>
      </c>
      <c r="Q51" s="5" t="n">
        <v>46281</v>
      </c>
    </row>
    <row r="52">
      <c r="P52" t="n">
        <v>50</v>
      </c>
      <c r="Q52" s="5" t="n">
        <v>46281</v>
      </c>
    </row>
    <row r="53">
      <c r="P53" t="n">
        <v>51</v>
      </c>
      <c r="Q53" s="5" t="n">
        <v>46282</v>
      </c>
    </row>
    <row r="54">
      <c r="P54" t="n">
        <v>52</v>
      </c>
      <c r="Q54" s="5" t="n">
        <v>46282</v>
      </c>
    </row>
    <row r="55">
      <c r="P55" t="n">
        <v>53</v>
      </c>
      <c r="Q55" s="5" t="n">
        <v>46283</v>
      </c>
    </row>
    <row r="56">
      <c r="P56" t="n">
        <v>54</v>
      </c>
      <c r="Q56" s="5" t="n">
        <v>46283</v>
      </c>
    </row>
    <row r="57">
      <c r="P57" t="n">
        <v>55</v>
      </c>
      <c r="Q57" s="5" t="n">
        <v>46286</v>
      </c>
    </row>
    <row r="58">
      <c r="P58" t="n">
        <v>56</v>
      </c>
      <c r="Q58" s="5" t="n">
        <v>46286</v>
      </c>
    </row>
    <row r="59">
      <c r="P59" t="n">
        <v>57</v>
      </c>
      <c r="Q59" s="5" t="n">
        <v>46287</v>
      </c>
    </row>
    <row r="60">
      <c r="P60" t="n">
        <v>58</v>
      </c>
      <c r="Q60" s="5" t="n">
        <v>46287</v>
      </c>
    </row>
    <row r="61">
      <c r="P61" t="n">
        <v>59</v>
      </c>
      <c r="Q61" s="5" t="n">
        <v>46288</v>
      </c>
    </row>
    <row r="62">
      <c r="P62" t="n">
        <v>60</v>
      </c>
      <c r="Q62" s="5" t="n">
        <v>46288</v>
      </c>
    </row>
    <row r="63">
      <c r="P63" t="n">
        <v>61</v>
      </c>
      <c r="Q63" s="5" t="n">
        <v>46289</v>
      </c>
    </row>
    <row r="64">
      <c r="P64" t="n">
        <v>62</v>
      </c>
      <c r="Q64" s="5" t="n">
        <v>46289</v>
      </c>
    </row>
    <row r="65">
      <c r="P65" t="n">
        <v>63</v>
      </c>
      <c r="Q65" s="5" t="n">
        <v>46290</v>
      </c>
    </row>
    <row r="66">
      <c r="P66" t="n">
        <v>64</v>
      </c>
      <c r="Q66" s="5" t="n">
        <v>46290</v>
      </c>
    </row>
    <row r="67">
      <c r="P67" t="n">
        <v>65</v>
      </c>
      <c r="Q67" s="5" t="n">
        <v>46293</v>
      </c>
    </row>
    <row r="68">
      <c r="P68" t="n">
        <v>66</v>
      </c>
      <c r="Q68" s="5" t="n">
        <v>46293</v>
      </c>
    </row>
    <row r="69">
      <c r="P69" t="n">
        <v>67</v>
      </c>
      <c r="Q69" s="5" t="n">
        <v>46296</v>
      </c>
    </row>
    <row r="70">
      <c r="P70" t="n">
        <v>68</v>
      </c>
      <c r="Q70" s="5" t="n">
        <v>46296</v>
      </c>
    </row>
    <row r="71">
      <c r="P71" t="n">
        <v>69</v>
      </c>
      <c r="Q71" s="5" t="n">
        <v>46297</v>
      </c>
    </row>
    <row r="72">
      <c r="P72" t="n">
        <v>70</v>
      </c>
      <c r="Q72" s="5" t="n">
        <v>46297</v>
      </c>
    </row>
    <row r="73">
      <c r="P73" t="n">
        <v>71</v>
      </c>
      <c r="Q73" s="5" t="n">
        <v>46300</v>
      </c>
    </row>
    <row r="74">
      <c r="P74" t="n">
        <v>72</v>
      </c>
      <c r="Q74" s="5" t="n">
        <v>46300</v>
      </c>
    </row>
    <row r="75">
      <c r="P75" t="n">
        <v>73</v>
      </c>
      <c r="Q75" s="5" t="n">
        <v>46301</v>
      </c>
    </row>
    <row r="76">
      <c r="P76" t="n">
        <v>74</v>
      </c>
      <c r="Q76" s="5" t="n">
        <v>46301</v>
      </c>
    </row>
    <row r="77">
      <c r="P77" t="n">
        <v>75</v>
      </c>
      <c r="Q77" s="5" t="n">
        <v>46302</v>
      </c>
    </row>
    <row r="78">
      <c r="P78" t="n">
        <v>76</v>
      </c>
      <c r="Q78" s="5" t="n">
        <v>46302</v>
      </c>
    </row>
    <row r="79">
      <c r="P79" t="n">
        <v>77</v>
      </c>
      <c r="Q79" s="5" t="n">
        <v>46303</v>
      </c>
    </row>
    <row r="80">
      <c r="P80" t="n">
        <v>78</v>
      </c>
      <c r="Q80" s="5" t="n">
        <v>46303</v>
      </c>
    </row>
    <row r="81">
      <c r="P81" t="n">
        <v>79</v>
      </c>
      <c r="Q81" s="5" t="n">
        <v>46304</v>
      </c>
    </row>
    <row r="82">
      <c r="P82" t="n">
        <v>80</v>
      </c>
      <c r="Q82" s="5" t="n">
        <v>46304</v>
      </c>
    </row>
    <row r="83">
      <c r="P83" t="n">
        <v>81</v>
      </c>
      <c r="Q83" s="5" t="n">
        <v>46308</v>
      </c>
    </row>
    <row r="84">
      <c r="P84" t="n">
        <v>82</v>
      </c>
      <c r="Q84" s="5" t="n">
        <v>46308</v>
      </c>
    </row>
    <row r="85">
      <c r="P85" t="n">
        <v>83</v>
      </c>
      <c r="Q85" s="5" t="n">
        <v>46309</v>
      </c>
    </row>
    <row r="86">
      <c r="P86" t="n">
        <v>84</v>
      </c>
      <c r="Q86" s="5" t="n">
        <v>46309</v>
      </c>
    </row>
    <row r="87">
      <c r="P87" t="n">
        <v>85</v>
      </c>
      <c r="Q87" s="5" t="n">
        <v>46310</v>
      </c>
    </row>
    <row r="88">
      <c r="P88" t="n">
        <v>86</v>
      </c>
      <c r="Q88" s="5" t="n">
        <v>46310</v>
      </c>
    </row>
    <row r="89">
      <c r="P89" t="n">
        <v>87</v>
      </c>
      <c r="Q89" s="5" t="n">
        <v>46311</v>
      </c>
    </row>
    <row r="90">
      <c r="P90" t="n">
        <v>88</v>
      </c>
      <c r="Q90" s="5" t="n">
        <v>46311</v>
      </c>
    </row>
    <row r="91">
      <c r="P91" t="n">
        <v>89</v>
      </c>
      <c r="Q91" s="5" t="n">
        <v>46314</v>
      </c>
    </row>
    <row r="92">
      <c r="P92" t="n">
        <v>90</v>
      </c>
      <c r="Q92" s="5" t="n">
        <v>46314</v>
      </c>
    </row>
    <row r="93">
      <c r="P93" t="n">
        <v>91</v>
      </c>
      <c r="Q93" s="5" t="n">
        <v>46315</v>
      </c>
    </row>
    <row r="94">
      <c r="P94" t="n">
        <v>92</v>
      </c>
      <c r="Q94" s="5" t="n">
        <v>46315</v>
      </c>
    </row>
    <row r="95">
      <c r="P95" t="n">
        <v>93</v>
      </c>
      <c r="Q95" s="5" t="n">
        <v>46316</v>
      </c>
    </row>
    <row r="96">
      <c r="P96" t="n">
        <v>94</v>
      </c>
      <c r="Q96" s="5" t="n">
        <v>46316</v>
      </c>
    </row>
    <row r="97">
      <c r="P97" t="n">
        <v>95</v>
      </c>
      <c r="Q97" s="5" t="n">
        <v>46317</v>
      </c>
    </row>
    <row r="98">
      <c r="P98" t="n">
        <v>96</v>
      </c>
      <c r="Q98" s="5" t="n">
        <v>46317</v>
      </c>
    </row>
    <row r="99">
      <c r="P99" t="n">
        <v>97</v>
      </c>
      <c r="Q99" s="5" t="n">
        <v>46318</v>
      </c>
    </row>
    <row r="100">
      <c r="P100" t="n">
        <v>98</v>
      </c>
      <c r="Q100" s="5" t="n">
        <v>46318</v>
      </c>
    </row>
    <row r="101">
      <c r="P101" t="n">
        <v>99</v>
      </c>
      <c r="Q101" s="5" t="n">
        <v>46321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2026-10-23T05:06:47Z</dcterms:created>
  <dcterms:modified xmlns:dcterms="http://purl.org/dc/terms/" xmlns:xsi="http://www.w3.org/2001/XMLSchema-instance" xsi:type="dcterms:W3CDTF">2026-10-23T05:06:47Z</dcterms:modified>
</cp:coreProperties>
</file>