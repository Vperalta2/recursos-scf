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 fechas" sheetId="1" state="visible" r:id="rId1"/>
    <sheet xmlns:r="http://schemas.openxmlformats.org/officeDocument/2006/relationships" name="Datos DIAN 2026" sheetId="2" state="visible" r:id="rId2"/>
  </sheets>
  <definedNames>
    <definedName name="_xlnm._FilterDatabase" localSheetId="0" hidden="1">'Mis fechas'!$B$20:$F$54</definedName>
    <definedName name="_xlnm.Print_Titles" localSheetId="0">'Mis fechas'!$20:$20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0"/>
  </numFmts>
  <fonts count="24">
    <font>
      <name val="Calibri"/>
      <family val="2"/>
      <color theme="1"/>
      <sz val="11"/>
      <scheme val="minor"/>
    </font>
    <font>
      <name val="Calibri"/>
      <color rgb="0018202E"/>
      <sz val="10"/>
    </font>
    <font>
      <name val="Calibri"/>
      <b val="1"/>
      <color rgb="00FFFFFF"/>
      <sz val="10"/>
    </font>
    <font>
      <name val="Calibri"/>
      <b val="1"/>
      <color rgb="00FFFFFF"/>
      <sz val="18"/>
    </font>
    <font>
      <name val="Calibri"/>
      <color rgb="00C9AD69"/>
      <sz val="10.5"/>
    </font>
    <font>
      <name val="Calibri"/>
      <color rgb="00D7DEEA"/>
      <sz val="9.5"/>
    </font>
    <font>
      <name val="Calibri"/>
      <b val="1"/>
      <color rgb="001B3562"/>
      <sz val="9.5"/>
    </font>
    <font>
      <name val="Calibri"/>
      <i val="1"/>
      <color rgb="005A6273"/>
      <sz val="9.5"/>
    </font>
    <font>
      <name val="Calibri"/>
      <b val="1"/>
      <color rgb="0085662A"/>
      <sz val="10"/>
    </font>
    <font>
      <name val="Calibri"/>
      <b val="1"/>
      <color rgb="001B3562"/>
      <sz val="11"/>
    </font>
    <font>
      <name val="Calibri"/>
      <b val="1"/>
      <color rgb="001B3562"/>
      <sz val="12"/>
    </font>
    <font>
      <name val="Calibri"/>
      <b val="1"/>
      <color rgb="001B3562"/>
      <sz val="16"/>
    </font>
    <font>
      <name val="Calibri"/>
      <i val="1"/>
      <color rgb="005A6273"/>
      <sz val="9"/>
    </font>
    <font>
      <name val="Calibri"/>
      <color rgb="0018202E"/>
      <sz val="11"/>
    </font>
    <font>
      <name val="Calibri"/>
      <b val="1"/>
      <color rgb="00FFFFFF"/>
      <sz val="13"/>
    </font>
    <font>
      <name val="Calibri"/>
      <b val="1"/>
      <color rgb="00C9AD69"/>
      <sz val="15"/>
    </font>
    <font>
      <name val="Calibri"/>
      <b val="1"/>
      <color rgb="00FFFFFF"/>
      <sz val="11"/>
    </font>
    <font>
      <name val="Calibri"/>
      <b val="1"/>
      <color rgb="00FFFFFF"/>
      <sz val="10.5"/>
    </font>
    <font>
      <name val="Calibri"/>
      <color rgb="0018202E"/>
      <sz val="10.5"/>
    </font>
    <font>
      <name val="Calibri"/>
      <b val="1"/>
      <color rgb="001B3562"/>
      <sz val="13"/>
    </font>
    <font>
      <name val="Calibri"/>
      <color rgb="0085662A"/>
      <sz val="10"/>
    </font>
    <font>
      <name val="Calibri"/>
      <color rgb="0024467F"/>
      <sz val="10.5"/>
      <u val="single"/>
    </font>
    <font>
      <name val="Calibri"/>
      <color rgb="005A6273"/>
      <sz val="9"/>
    </font>
    <font>
      <name val="Calibri"/>
      <i val="1"/>
      <color rgb="005A6273"/>
      <sz val="8.5"/>
    </font>
  </fonts>
  <fills count="6">
    <fill>
      <patternFill/>
    </fill>
    <fill>
      <patternFill patternType="gray125"/>
    </fill>
    <fill>
      <patternFill patternType="solid">
        <fgColor rgb="001B3562"/>
      </patternFill>
    </fill>
    <fill>
      <patternFill patternType="solid">
        <fgColor rgb="00C9AD69"/>
      </patternFill>
    </fill>
    <fill>
      <patternFill patternType="solid">
        <fgColor rgb="00FFF6DD"/>
      </patternFill>
    </fill>
    <fill>
      <patternFill patternType="solid">
        <fgColor rgb="00F8F6F0"/>
      </patternFill>
    </fill>
  </fills>
  <borders count="5">
    <border>
      <left/>
      <right/>
      <top/>
      <bottom/>
      <diagonal/>
    </border>
    <border>
      <bottom style="thin">
        <color rgb="00E2DDCF"/>
      </bottom>
    </border>
    <border>
      <left style="thin">
        <color rgb="00C9AD69"/>
      </left>
      <right style="thin">
        <color rgb="00C9AD69"/>
      </right>
      <top style="thin">
        <color rgb="00C9AD69"/>
      </top>
      <bottom style="thin">
        <color rgb="00C9AD69"/>
      </bottom>
    </border>
    <border>
      <bottom style="medium">
        <color rgb="00C9AD69"/>
      </bottom>
    </border>
    <border>
      <top style="medium">
        <color rgb="00C9AD69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vertical="center" indent="1"/>
    </xf>
    <xf numFmtId="0" fontId="4" fillId="2" borderId="0" applyAlignment="1" pivotButton="0" quotePrefix="0" xfId="0">
      <alignment vertical="center" indent="1"/>
    </xf>
    <xf numFmtId="0" fontId="5" fillId="2" borderId="0" applyAlignment="1" pivotButton="0" quotePrefix="0" xfId="0">
      <alignment vertical="center" indent="1"/>
    </xf>
    <xf numFmtId="0" fontId="0" fillId="3" borderId="0" pivotButton="0" quotePrefix="0" xfId="0"/>
    <xf numFmtId="0" fontId="6" fillId="4" borderId="2" applyAlignment="1" pivotButton="0" quotePrefix="0" xfId="0">
      <alignment horizontal="left"/>
    </xf>
    <xf numFmtId="0" fontId="7" fillId="0" borderId="0" pivotButton="0" quotePrefix="0" xfId="0"/>
    <xf numFmtId="0" fontId="8" fillId="0" borderId="3" applyAlignment="1" pivotButton="0" quotePrefix="0" xfId="0">
      <alignment vertical="bottom"/>
    </xf>
    <xf numFmtId="0" fontId="0" fillId="0" borderId="3" pivotButton="0" quotePrefix="0" xfId="0"/>
    <xf numFmtId="0" fontId="9" fillId="0" borderId="0" applyAlignment="1" pivotButton="0" quotePrefix="0" xfId="0">
      <alignment vertical="center" wrapText="1"/>
    </xf>
    <xf numFmtId="166" fontId="11" fillId="4" borderId="2" applyAlignment="1" applyProtection="1" pivotButton="0" quotePrefix="0" xfId="0">
      <alignment horizontal="right" vertical="center"/>
      <protection locked="0" hidden="0"/>
    </xf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  <xf numFmtId="1" fontId="13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14" fillId="2" borderId="0" applyAlignment="1" pivotButton="0" quotePrefix="0" xfId="0">
      <alignment vertical="center" indent="1"/>
    </xf>
    <xf numFmtId="165" fontId="15" fillId="2" borderId="0" applyAlignment="1" pivotButton="0" quotePrefix="0" xfId="0">
      <alignment horizontal="right" vertical="center"/>
    </xf>
    <xf numFmtId="0" fontId="16" fillId="2" borderId="0" applyAlignment="1" pivotButton="0" quotePrefix="0" xfId="0">
      <alignment vertical="center" wrapText="1" indent="1"/>
    </xf>
    <xf numFmtId="0" fontId="17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0" borderId="1" pivotButton="0" quotePrefix="0" xfId="0"/>
    <xf numFmtId="165" fontId="18" fillId="0" borderId="1" applyAlignment="1" pivotButton="0" quotePrefix="0" xfId="0">
      <alignment horizontal="center"/>
    </xf>
    <xf numFmtId="1" fontId="18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8" fillId="5" borderId="1" pivotButton="0" quotePrefix="0" xfId="0"/>
    <xf numFmtId="165" fontId="18" fillId="5" borderId="1" applyAlignment="1" pivotButton="0" quotePrefix="0" xfId="0">
      <alignment horizontal="center"/>
    </xf>
    <xf numFmtId="1" fontId="18" fillId="5" borderId="1" applyAlignment="1" pivotButton="0" quotePrefix="0" xfId="0">
      <alignment horizontal="center"/>
    </xf>
    <xf numFmtId="0" fontId="18" fillId="5" borderId="1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  <xf numFmtId="0" fontId="0" fillId="5" borderId="4" pivotButton="0" quotePrefix="0" xfId="0"/>
    <xf numFmtId="0" fontId="0" fillId="5" borderId="0" pivotButton="0" quotePrefix="0" xfId="0"/>
    <xf numFmtId="0" fontId="19" fillId="5" borderId="0" pivotButton="0" quotePrefix="0" xfId="0"/>
    <xf numFmtId="0" fontId="20" fillId="5" borderId="0" pivotButton="0" quotePrefix="0" xfId="0"/>
    <xf numFmtId="0" fontId="21" fillId="5" borderId="0" pivotButton="0" quotePrefix="0" xfId="0"/>
    <xf numFmtId="0" fontId="22" fillId="5" borderId="0" pivotButton="0" quotePrefix="0" xfId="0"/>
    <xf numFmtId="0" fontId="23" fillId="5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1" fillId="0" borderId="1" pivotButton="0" quotePrefix="0" xfId="0"/>
    <xf numFmtId="165" fontId="1" fillId="0" borderId="1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9AA0AA"/>
      </font>
    </dxf>
    <dxf>
      <font>
        <b val="1"/>
        <color rgb="00B42B2B"/>
      </font>
      <fill>
        <patternFill patternType="solid">
          <fgColor rgb="00FBE6E3"/>
        </patternFill>
      </fill>
    </dxf>
    <dxf>
      <font>
        <b val="1"/>
        <color rgb="002C7A4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495300</colOff>
      <row>1</row>
      <rowOff>19050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73005074934" TargetMode="External" Id="rId1"/><Relationship Type="http://schemas.openxmlformats.org/officeDocument/2006/relationships/hyperlink" Target="https://calendar.app.google/NaQe5qqNjgy27SrF7" TargetMode="External" Id="rId2"/><Relationship Type="http://schemas.openxmlformats.org/officeDocument/2006/relationships/hyperlink" Target="https://recursos.solucioncontableyfiscal.com" TargetMode="External" Id="rId3"/><Relationship Type="http://schemas.openxmlformats.org/officeDocument/2006/relationships/hyperlink" Target="mailto:solucontfisc@gmail.com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tabColor rgb="001B3562"/>
    <outlinePr summaryBelow="1" summaryRight="1"/>
    <pageSetUpPr fitToPage="1"/>
  </sheetPr>
  <dimension ref="A1:F67"/>
  <sheetViews>
    <sheetView showGridLines="0" workbookViewId="0">
      <pane xSplit="1" ySplit="20" topLeftCell="B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2" customWidth="1" min="2" max="2"/>
    <col width="30" customWidth="1" min="3" max="3"/>
    <col width="15" customWidth="1" min="4" max="4"/>
    <col width="14" customWidth="1" min="5" max="5"/>
    <col width="17" customWidth="1" min="6" max="6"/>
  </cols>
  <sheetData>
    <row r="1" ht="10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Calendario tributario 2026 por NIT</t>
        </is>
      </c>
    </row>
    <row r="3" ht="18" customHeight="1">
      <c r="A3" s="1" t="n"/>
      <c r="B3" s="3" t="inlineStr">
        <is>
          <t>Tus fechas DIAN de renta, IVA, retención y Régimen Simple en un solo lugar</t>
        </is>
      </c>
    </row>
    <row r="4" ht="18" customHeight="1">
      <c r="A4" s="1" t="n"/>
      <c r="B4" s="4" t="inlineStr">
        <is>
          <t>WhatsApp 300 507 4934  ·  solucontfisc@gmail.com  ·  recursos.solucioncontableyfiscal.com</t>
        </is>
      </c>
    </row>
    <row r="5" ht="10" customHeight="1">
      <c r="A5" s="1" t="n"/>
      <c r="B5" s="1" t="n"/>
      <c r="C5" s="1" t="n"/>
      <c r="D5" s="1" t="n"/>
      <c r="E5" s="1" t="n"/>
      <c r="F5" s="1" t="n"/>
    </row>
    <row r="6" ht="4" customHeight="1">
      <c r="A6" s="5" t="n"/>
      <c r="B6" s="5" t="n"/>
      <c r="C6" s="5" t="n"/>
      <c r="D6" s="5" t="n"/>
      <c r="E6" s="5" t="n"/>
      <c r="F6" s="5" t="n"/>
    </row>
    <row r="8">
      <c r="B8" s="6" t="inlineStr">
        <is>
          <t xml:space="preserve">  Tus datos  </t>
        </is>
      </c>
      <c r="C8" s="7" t="inlineStr">
        <is>
          <t>Escribe solo en las celdas amarillas; el resto se calcula solo.</t>
        </is>
      </c>
    </row>
    <row r="10" ht="24" customHeight="1">
      <c r="B10" s="8" t="inlineStr">
        <is>
          <t>1.  TU NIT</t>
        </is>
      </c>
      <c r="C10" s="9" t="n"/>
      <c r="D10" s="9" t="n"/>
      <c r="E10" s="9" t="n"/>
      <c r="F10" s="9" t="n"/>
    </row>
    <row r="11" ht="26" customHeight="1">
      <c r="B11" s="10" t="inlineStr">
        <is>
          <t>Dos últimos dígitos del NIT (sin dígito de verificación)</t>
        </is>
      </c>
      <c r="C11" s="11" t="n">
        <v>34</v>
      </c>
      <c r="D11" s="12" t="inlineStr">
        <is>
          <t>Ejemplo: NIT 900.123.434-5 → 34</t>
        </is>
      </c>
    </row>
    <row r="12">
      <c r="B12" s="13" t="inlineStr">
        <is>
          <t>Último dígito</t>
        </is>
      </c>
      <c r="C12" s="14">
        <f>MOD(C11,10)</f>
        <v/>
      </c>
    </row>
    <row r="14" ht="24" customHeight="1">
      <c r="B14" s="8" t="inlineStr">
        <is>
          <t>2.  RESUMEN</t>
        </is>
      </c>
      <c r="C14" s="9" t="n"/>
      <c r="D14" s="9" t="n"/>
      <c r="E14" s="9" t="n"/>
      <c r="F14" s="9" t="n"/>
    </row>
    <row r="15">
      <c r="B15" s="10" t="inlineStr">
        <is>
          <t>Renta personas naturales (año gravable 2025)</t>
        </is>
      </c>
      <c r="C15" s="15">
        <f>VLOOKUP(MOD(C11,100),'Datos DIAN 2026'!$P$2:$Q$101,2,FALSE)</f>
        <v/>
      </c>
    </row>
    <row r="16">
      <c r="B16" s="13" t="inlineStr">
        <is>
          <t>Hoy</t>
        </is>
      </c>
      <c r="C16" s="16">
        <f>TODAY()</f>
        <v/>
      </c>
    </row>
    <row r="17" ht="40" customHeight="1">
      <c r="B17" s="17" t="inlineStr">
        <is>
          <t>Tu próximo vencimiento</t>
        </is>
      </c>
      <c r="C17" s="18">
        <f>IFERROR(1/(1/_xlfn.MINIFS($D$21:$D$54,$D$21:$D$54,"&gt;="&amp;TODAY())),"Sin pendientes")</f>
        <v/>
      </c>
      <c r="D17" s="19">
        <f>IFERROR(INDEX($B$21:$B$54,MATCH(C17,$D$21:$D$54,0))&amp;" · "&amp;INDEX($C$21:$C$54,MATCH(C17,$D$21:$D$54,0)),"")</f>
        <v/>
      </c>
      <c r="E17" s="1" t="n"/>
      <c r="F17" s="1" t="n"/>
    </row>
    <row r="19" ht="24" customHeight="1">
      <c r="B19" s="8" t="inlineStr">
        <is>
          <t>3.  TUS FECHAS 2026</t>
        </is>
      </c>
      <c r="C19" s="9" t="n"/>
      <c r="D19" s="9" t="n"/>
      <c r="E19" s="9" t="n"/>
      <c r="F19" s="9" t="n"/>
    </row>
    <row r="20" ht="22" customHeight="1">
      <c r="B20" s="20" t="inlineStr">
        <is>
          <t>Obligación</t>
        </is>
      </c>
      <c r="C20" s="20" t="inlineStr">
        <is>
          <t>Período</t>
        </is>
      </c>
      <c r="D20" s="21" t="inlineStr">
        <is>
          <t>Fecha límite</t>
        </is>
      </c>
      <c r="E20" s="21" t="inlineStr">
        <is>
          <t>Días que faltan</t>
        </is>
      </c>
      <c r="F20" s="21" t="inlineStr">
        <is>
          <t>Estado</t>
        </is>
      </c>
    </row>
    <row r="21">
      <c r="B21" s="22">
        <f>'Datos DIAN 2026'!A2</f>
        <v/>
      </c>
      <c r="C21" s="22">
        <f>'Datos DIAN 2026'!B2</f>
        <v/>
      </c>
      <c r="D21" s="23">
        <f>INDEX('Datos DIAN 2026'!$D$2:$M$2,MATCH($C$12,'Datos DIAN 2026'!$D$1:$M$1,0))</f>
        <v/>
      </c>
      <c r="E21" s="24">
        <f>IF(D21&lt;TODAY(),"",D21-TODAY())</f>
        <v/>
      </c>
      <c r="F21" s="25">
        <f>IF(D21&lt;TODAY(),"Vencido",IF(D21-TODAY()&lt;=15,"Vence pronto","Pendiente"))</f>
        <v/>
      </c>
    </row>
    <row r="22">
      <c r="B22" s="26">
        <f>'Datos DIAN 2026'!A3</f>
        <v/>
      </c>
      <c r="C22" s="26">
        <f>'Datos DIAN 2026'!B3</f>
        <v/>
      </c>
      <c r="D22" s="27">
        <f>INDEX('Datos DIAN 2026'!$D$3:$M$3,MATCH($C$12,'Datos DIAN 2026'!$D$1:$M$1,0))</f>
        <v/>
      </c>
      <c r="E22" s="28">
        <f>IF(D22&lt;TODAY(),"",D22-TODAY())</f>
        <v/>
      </c>
      <c r="F22" s="29">
        <f>IF(D22&lt;TODAY(),"Vencido",IF(D22-TODAY()&lt;=15,"Vence pronto","Pendiente"))</f>
        <v/>
      </c>
    </row>
    <row r="23">
      <c r="B23" s="22">
        <f>'Datos DIAN 2026'!A4</f>
        <v/>
      </c>
      <c r="C23" s="22">
        <f>'Datos DIAN 2026'!B4</f>
        <v/>
      </c>
      <c r="D23" s="23">
        <f>INDEX('Datos DIAN 2026'!$D$4:$M$4,MATCH($C$12,'Datos DIAN 2026'!$D$1:$M$1,0))</f>
        <v/>
      </c>
      <c r="E23" s="24">
        <f>IF(D23&lt;TODAY(),"",D23-TODAY())</f>
        <v/>
      </c>
      <c r="F23" s="25">
        <f>IF(D23&lt;TODAY(),"Vencido",IF(D23-TODAY()&lt;=15,"Vence pronto","Pendiente"))</f>
        <v/>
      </c>
    </row>
    <row r="24">
      <c r="B24" s="26">
        <f>'Datos DIAN 2026'!A5</f>
        <v/>
      </c>
      <c r="C24" s="26">
        <f>'Datos DIAN 2026'!B5</f>
        <v/>
      </c>
      <c r="D24" s="27">
        <f>INDEX('Datos DIAN 2026'!$D$5:$M$5,MATCH($C$12,'Datos DIAN 2026'!$D$1:$M$1,0))</f>
        <v/>
      </c>
      <c r="E24" s="28">
        <f>IF(D24&lt;TODAY(),"",D24-TODAY())</f>
        <v/>
      </c>
      <c r="F24" s="29">
        <f>IF(D24&lt;TODAY(),"Vencido",IF(D24-TODAY()&lt;=15,"Vence pronto","Pendiente"))</f>
        <v/>
      </c>
    </row>
    <row r="25">
      <c r="B25" s="22">
        <f>'Datos DIAN 2026'!A6</f>
        <v/>
      </c>
      <c r="C25" s="22">
        <f>'Datos DIAN 2026'!B6</f>
        <v/>
      </c>
      <c r="D25" s="23">
        <f>INDEX('Datos DIAN 2026'!$D$6:$M$6,MATCH($C$12,'Datos DIAN 2026'!$D$1:$M$1,0))</f>
        <v/>
      </c>
      <c r="E25" s="24">
        <f>IF(D25&lt;TODAY(),"",D25-TODAY())</f>
        <v/>
      </c>
      <c r="F25" s="25">
        <f>IF(D25&lt;TODAY(),"Vencido",IF(D25-TODAY()&lt;=15,"Vence pronto","Pendiente"))</f>
        <v/>
      </c>
    </row>
    <row r="26">
      <c r="B26" s="26">
        <f>'Datos DIAN 2026'!A7</f>
        <v/>
      </c>
      <c r="C26" s="26">
        <f>'Datos DIAN 2026'!B7</f>
        <v/>
      </c>
      <c r="D26" s="27">
        <f>INDEX('Datos DIAN 2026'!$D$7:$M$7,MATCH($C$12,'Datos DIAN 2026'!$D$1:$M$1,0))</f>
        <v/>
      </c>
      <c r="E26" s="28">
        <f>IF(D26&lt;TODAY(),"",D26-TODAY())</f>
        <v/>
      </c>
      <c r="F26" s="29">
        <f>IF(D26&lt;TODAY(),"Vencido",IF(D26-TODAY()&lt;=15,"Vence pronto","Pendiente"))</f>
        <v/>
      </c>
    </row>
    <row r="27">
      <c r="B27" s="22">
        <f>'Datos DIAN 2026'!A8</f>
        <v/>
      </c>
      <c r="C27" s="22">
        <f>'Datos DIAN 2026'!B8</f>
        <v/>
      </c>
      <c r="D27" s="23">
        <f>INDEX('Datos DIAN 2026'!$D$8:$M$8,MATCH($C$12,'Datos DIAN 2026'!$D$1:$M$1,0))</f>
        <v/>
      </c>
      <c r="E27" s="24">
        <f>IF(D27&lt;TODAY(),"",D27-TODAY())</f>
        <v/>
      </c>
      <c r="F27" s="25">
        <f>IF(D27&lt;TODAY(),"Vencido",IF(D27-TODAY()&lt;=15,"Vence pronto","Pendiente"))</f>
        <v/>
      </c>
    </row>
    <row r="28">
      <c r="B28" s="26">
        <f>'Datos DIAN 2026'!A9</f>
        <v/>
      </c>
      <c r="C28" s="26">
        <f>'Datos DIAN 2026'!B9</f>
        <v/>
      </c>
      <c r="D28" s="27">
        <f>INDEX('Datos DIAN 2026'!$D$9:$M$9,MATCH($C$12,'Datos DIAN 2026'!$D$1:$M$1,0))</f>
        <v/>
      </c>
      <c r="E28" s="28">
        <f>IF(D28&lt;TODAY(),"",D28-TODAY())</f>
        <v/>
      </c>
      <c r="F28" s="29">
        <f>IF(D28&lt;TODAY(),"Vencido",IF(D28-TODAY()&lt;=15,"Vence pronto","Pendiente"))</f>
        <v/>
      </c>
    </row>
    <row r="29">
      <c r="B29" s="22">
        <f>'Datos DIAN 2026'!A10</f>
        <v/>
      </c>
      <c r="C29" s="22">
        <f>'Datos DIAN 2026'!B10</f>
        <v/>
      </c>
      <c r="D29" s="23">
        <f>INDEX('Datos DIAN 2026'!$D$10:$M$10,MATCH($C$12,'Datos DIAN 2026'!$D$1:$M$1,0))</f>
        <v/>
      </c>
      <c r="E29" s="24">
        <f>IF(D29&lt;TODAY(),"",D29-TODAY())</f>
        <v/>
      </c>
      <c r="F29" s="25">
        <f>IF(D29&lt;TODAY(),"Vencido",IF(D29-TODAY()&lt;=15,"Vence pronto","Pendiente"))</f>
        <v/>
      </c>
    </row>
    <row r="30">
      <c r="B30" s="26">
        <f>'Datos DIAN 2026'!A11</f>
        <v/>
      </c>
      <c r="C30" s="26">
        <f>'Datos DIAN 2026'!B11</f>
        <v/>
      </c>
      <c r="D30" s="27">
        <f>INDEX('Datos DIAN 2026'!$D$11:$M$11,MATCH($C$12,'Datos DIAN 2026'!$D$1:$M$1,0))</f>
        <v/>
      </c>
      <c r="E30" s="28">
        <f>IF(D30&lt;TODAY(),"",D30-TODAY())</f>
        <v/>
      </c>
      <c r="F30" s="29">
        <f>IF(D30&lt;TODAY(),"Vencido",IF(D30-TODAY()&lt;=15,"Vence pronto","Pendiente"))</f>
        <v/>
      </c>
    </row>
    <row r="31">
      <c r="B31" s="22">
        <f>'Datos DIAN 2026'!A12</f>
        <v/>
      </c>
      <c r="C31" s="22">
        <f>'Datos DIAN 2026'!B12</f>
        <v/>
      </c>
      <c r="D31" s="23">
        <f>INDEX('Datos DIAN 2026'!$D$12:$M$12,MATCH($C$12,'Datos DIAN 2026'!$D$1:$M$1,0))</f>
        <v/>
      </c>
      <c r="E31" s="24">
        <f>IF(D31&lt;TODAY(),"",D31-TODAY())</f>
        <v/>
      </c>
      <c r="F31" s="25">
        <f>IF(D31&lt;TODAY(),"Vencido",IF(D31-TODAY()&lt;=15,"Vence pronto","Pendiente"))</f>
        <v/>
      </c>
    </row>
    <row r="32">
      <c r="B32" s="26">
        <f>'Datos DIAN 2026'!A13</f>
        <v/>
      </c>
      <c r="C32" s="26">
        <f>'Datos DIAN 2026'!B13</f>
        <v/>
      </c>
      <c r="D32" s="27">
        <f>INDEX('Datos DIAN 2026'!$D$13:$M$13,MATCH($C$12,'Datos DIAN 2026'!$D$1:$M$1,0))</f>
        <v/>
      </c>
      <c r="E32" s="28">
        <f>IF(D32&lt;TODAY(),"",D32-TODAY())</f>
        <v/>
      </c>
      <c r="F32" s="29">
        <f>IF(D32&lt;TODAY(),"Vencido",IF(D32-TODAY()&lt;=15,"Vence pronto","Pendiente"))</f>
        <v/>
      </c>
    </row>
    <row r="33">
      <c r="B33" s="22">
        <f>'Datos DIAN 2026'!A14</f>
        <v/>
      </c>
      <c r="C33" s="22">
        <f>'Datos DIAN 2026'!B14</f>
        <v/>
      </c>
      <c r="D33" s="23">
        <f>INDEX('Datos DIAN 2026'!$D$14:$M$14,MATCH($C$12,'Datos DIAN 2026'!$D$1:$M$1,0))</f>
        <v/>
      </c>
      <c r="E33" s="24">
        <f>IF(D33&lt;TODAY(),"",D33-TODAY())</f>
        <v/>
      </c>
      <c r="F33" s="25">
        <f>IF(D33&lt;TODAY(),"Vencido",IF(D33-TODAY()&lt;=15,"Vence pronto","Pendiente"))</f>
        <v/>
      </c>
    </row>
    <row r="34">
      <c r="B34" s="26">
        <f>'Datos DIAN 2026'!A15</f>
        <v/>
      </c>
      <c r="C34" s="26">
        <f>'Datos DIAN 2026'!B15</f>
        <v/>
      </c>
      <c r="D34" s="27">
        <f>INDEX('Datos DIAN 2026'!$D$15:$M$15,MATCH($C$12,'Datos DIAN 2026'!$D$1:$M$1,0))</f>
        <v/>
      </c>
      <c r="E34" s="28">
        <f>IF(D34&lt;TODAY(),"",D34-TODAY())</f>
        <v/>
      </c>
      <c r="F34" s="29">
        <f>IF(D34&lt;TODAY(),"Vencido",IF(D34-TODAY()&lt;=15,"Vence pronto","Pendiente"))</f>
        <v/>
      </c>
    </row>
    <row r="35">
      <c r="B35" s="22">
        <f>'Datos DIAN 2026'!A16</f>
        <v/>
      </c>
      <c r="C35" s="22">
        <f>'Datos DIAN 2026'!B16</f>
        <v/>
      </c>
      <c r="D35" s="23">
        <f>INDEX('Datos DIAN 2026'!$D$16:$M$16,MATCH($C$12,'Datos DIAN 2026'!$D$1:$M$1,0))</f>
        <v/>
      </c>
      <c r="E35" s="24">
        <f>IF(D35&lt;TODAY(),"",D35-TODAY())</f>
        <v/>
      </c>
      <c r="F35" s="25">
        <f>IF(D35&lt;TODAY(),"Vencido",IF(D35-TODAY()&lt;=15,"Vence pronto","Pendiente"))</f>
        <v/>
      </c>
    </row>
    <row r="36">
      <c r="B36" s="26">
        <f>'Datos DIAN 2026'!A17</f>
        <v/>
      </c>
      <c r="C36" s="26">
        <f>'Datos DIAN 2026'!B17</f>
        <v/>
      </c>
      <c r="D36" s="27">
        <f>INDEX('Datos DIAN 2026'!$D$17:$M$17,MATCH($C$12,'Datos DIAN 2026'!$D$1:$M$1,0))</f>
        <v/>
      </c>
      <c r="E36" s="28">
        <f>IF(D36&lt;TODAY(),"",D36-TODAY())</f>
        <v/>
      </c>
      <c r="F36" s="29">
        <f>IF(D36&lt;TODAY(),"Vencido",IF(D36-TODAY()&lt;=15,"Vence pronto","Pendiente"))</f>
        <v/>
      </c>
    </row>
    <row r="37">
      <c r="B37" s="22">
        <f>'Datos DIAN 2026'!A18</f>
        <v/>
      </c>
      <c r="C37" s="22">
        <f>'Datos DIAN 2026'!B18</f>
        <v/>
      </c>
      <c r="D37" s="23">
        <f>INDEX('Datos DIAN 2026'!$D$18:$M$18,MATCH($C$12,'Datos DIAN 2026'!$D$1:$M$1,0))</f>
        <v/>
      </c>
      <c r="E37" s="24">
        <f>IF(D37&lt;TODAY(),"",D37-TODAY())</f>
        <v/>
      </c>
      <c r="F37" s="25">
        <f>IF(D37&lt;TODAY(),"Vencido",IF(D37-TODAY()&lt;=15,"Vence pronto","Pendiente"))</f>
        <v/>
      </c>
    </row>
    <row r="38">
      <c r="B38" s="26">
        <f>'Datos DIAN 2026'!A19</f>
        <v/>
      </c>
      <c r="C38" s="26">
        <f>'Datos DIAN 2026'!B19</f>
        <v/>
      </c>
      <c r="D38" s="27">
        <f>INDEX('Datos DIAN 2026'!$D$19:$M$19,MATCH($C$12,'Datos DIAN 2026'!$D$1:$M$1,0))</f>
        <v/>
      </c>
      <c r="E38" s="28">
        <f>IF(D38&lt;TODAY(),"",D38-TODAY())</f>
        <v/>
      </c>
      <c r="F38" s="29">
        <f>IF(D38&lt;TODAY(),"Vencido",IF(D38-TODAY()&lt;=15,"Vence pronto","Pendiente"))</f>
        <v/>
      </c>
    </row>
    <row r="39">
      <c r="B39" s="22">
        <f>'Datos DIAN 2026'!A20</f>
        <v/>
      </c>
      <c r="C39" s="22">
        <f>'Datos DIAN 2026'!B20</f>
        <v/>
      </c>
      <c r="D39" s="23">
        <f>INDEX('Datos DIAN 2026'!$D$20:$M$20,MATCH($C$12,'Datos DIAN 2026'!$D$1:$M$1,0))</f>
        <v/>
      </c>
      <c r="E39" s="24">
        <f>IF(D39&lt;TODAY(),"",D39-TODAY())</f>
        <v/>
      </c>
      <c r="F39" s="25">
        <f>IF(D39&lt;TODAY(),"Vencido",IF(D39-TODAY()&lt;=15,"Vence pronto","Pendiente"))</f>
        <v/>
      </c>
    </row>
    <row r="40">
      <c r="B40" s="26">
        <f>'Datos DIAN 2026'!A21</f>
        <v/>
      </c>
      <c r="C40" s="26">
        <f>'Datos DIAN 2026'!B21</f>
        <v/>
      </c>
      <c r="D40" s="27">
        <f>INDEX('Datos DIAN 2026'!$D$21:$M$21,MATCH($C$12,'Datos DIAN 2026'!$D$1:$M$1,0))</f>
        <v/>
      </c>
      <c r="E40" s="28">
        <f>IF(D40&lt;TODAY(),"",D40-TODAY())</f>
        <v/>
      </c>
      <c r="F40" s="29">
        <f>IF(D40&lt;TODAY(),"Vencido",IF(D40-TODAY()&lt;=15,"Vence pronto","Pendiente"))</f>
        <v/>
      </c>
    </row>
    <row r="41">
      <c r="B41" s="22">
        <f>'Datos DIAN 2026'!A22</f>
        <v/>
      </c>
      <c r="C41" s="22">
        <f>'Datos DIAN 2026'!B22</f>
        <v/>
      </c>
      <c r="D41" s="23">
        <f>INDEX('Datos DIAN 2026'!$D$22:$M$22,MATCH($C$12,'Datos DIAN 2026'!$D$1:$M$1,0))</f>
        <v/>
      </c>
      <c r="E41" s="24">
        <f>IF(D41&lt;TODAY(),"",D41-TODAY())</f>
        <v/>
      </c>
      <c r="F41" s="25">
        <f>IF(D41&lt;TODAY(),"Vencido",IF(D41-TODAY()&lt;=15,"Vence pronto","Pendiente"))</f>
        <v/>
      </c>
    </row>
    <row r="42">
      <c r="B42" s="26">
        <f>'Datos DIAN 2026'!A23</f>
        <v/>
      </c>
      <c r="C42" s="26">
        <f>'Datos DIAN 2026'!B23</f>
        <v/>
      </c>
      <c r="D42" s="27">
        <f>INDEX('Datos DIAN 2026'!$D$23:$M$23,MATCH($C$12,'Datos DIAN 2026'!$D$1:$M$1,0))</f>
        <v/>
      </c>
      <c r="E42" s="28">
        <f>IF(D42&lt;TODAY(),"",D42-TODAY())</f>
        <v/>
      </c>
      <c r="F42" s="29">
        <f>IF(D42&lt;TODAY(),"Vencido",IF(D42-TODAY()&lt;=15,"Vence pronto","Pendiente"))</f>
        <v/>
      </c>
    </row>
    <row r="43">
      <c r="B43" s="22">
        <f>'Datos DIAN 2026'!A24</f>
        <v/>
      </c>
      <c r="C43" s="22">
        <f>'Datos DIAN 2026'!B24</f>
        <v/>
      </c>
      <c r="D43" s="23">
        <f>INDEX('Datos DIAN 2026'!$D$24:$M$24,MATCH($C$12,'Datos DIAN 2026'!$D$1:$M$1,0))</f>
        <v/>
      </c>
      <c r="E43" s="24">
        <f>IF(D43&lt;TODAY(),"",D43-TODAY())</f>
        <v/>
      </c>
      <c r="F43" s="25">
        <f>IF(D43&lt;TODAY(),"Vencido",IF(D43-TODAY()&lt;=15,"Vence pronto","Pendiente"))</f>
        <v/>
      </c>
    </row>
    <row r="44">
      <c r="B44" s="26">
        <f>'Datos DIAN 2026'!A25</f>
        <v/>
      </c>
      <c r="C44" s="26">
        <f>'Datos DIAN 2026'!B25</f>
        <v/>
      </c>
      <c r="D44" s="27">
        <f>INDEX('Datos DIAN 2026'!$D$25:$M$25,MATCH($C$12,'Datos DIAN 2026'!$D$1:$M$1,0))</f>
        <v/>
      </c>
      <c r="E44" s="28">
        <f>IF(D44&lt;TODAY(),"",D44-TODAY())</f>
        <v/>
      </c>
      <c r="F44" s="29">
        <f>IF(D44&lt;TODAY(),"Vencido",IF(D44-TODAY()&lt;=15,"Vence pronto","Pendiente"))</f>
        <v/>
      </c>
    </row>
    <row r="45">
      <c r="B45" s="22">
        <f>'Datos DIAN 2026'!A26</f>
        <v/>
      </c>
      <c r="C45" s="22">
        <f>'Datos DIAN 2026'!B26</f>
        <v/>
      </c>
      <c r="D45" s="23">
        <f>INDEX('Datos DIAN 2026'!$D$26:$M$26,MATCH($C$12,'Datos DIAN 2026'!$D$1:$M$1,0))</f>
        <v/>
      </c>
      <c r="E45" s="24">
        <f>IF(D45&lt;TODAY(),"",D45-TODAY())</f>
        <v/>
      </c>
      <c r="F45" s="25">
        <f>IF(D45&lt;TODAY(),"Vencido",IF(D45-TODAY()&lt;=15,"Vence pronto","Pendiente"))</f>
        <v/>
      </c>
    </row>
    <row r="46">
      <c r="B46" s="26">
        <f>'Datos DIAN 2026'!A27</f>
        <v/>
      </c>
      <c r="C46" s="26">
        <f>'Datos DIAN 2026'!B27</f>
        <v/>
      </c>
      <c r="D46" s="27">
        <f>INDEX('Datos DIAN 2026'!$D$27:$M$27,MATCH($C$12,'Datos DIAN 2026'!$D$1:$M$1,0))</f>
        <v/>
      </c>
      <c r="E46" s="28">
        <f>IF(D46&lt;TODAY(),"",D46-TODAY())</f>
        <v/>
      </c>
      <c r="F46" s="29">
        <f>IF(D46&lt;TODAY(),"Vencido",IF(D46-TODAY()&lt;=15,"Vence pronto","Pendiente"))</f>
        <v/>
      </c>
    </row>
    <row r="47">
      <c r="B47" s="22">
        <f>'Datos DIAN 2026'!A28</f>
        <v/>
      </c>
      <c r="C47" s="22">
        <f>'Datos DIAN 2026'!B28</f>
        <v/>
      </c>
      <c r="D47" s="23">
        <f>INDEX('Datos DIAN 2026'!$D$28:$M$28,MATCH($C$12,'Datos DIAN 2026'!$D$1:$M$1,0))</f>
        <v/>
      </c>
      <c r="E47" s="24">
        <f>IF(D47&lt;TODAY(),"",D47-TODAY())</f>
        <v/>
      </c>
      <c r="F47" s="25">
        <f>IF(D47&lt;TODAY(),"Vencido",IF(D47-TODAY()&lt;=15,"Vence pronto","Pendiente"))</f>
        <v/>
      </c>
    </row>
    <row r="48">
      <c r="B48" s="26">
        <f>'Datos DIAN 2026'!A29</f>
        <v/>
      </c>
      <c r="C48" s="26">
        <f>'Datos DIAN 2026'!B29</f>
        <v/>
      </c>
      <c r="D48" s="27">
        <f>INDEX('Datos DIAN 2026'!$D$29:$M$29,MATCH($C$12,'Datos DIAN 2026'!$D$1:$M$1,0))</f>
        <v/>
      </c>
      <c r="E48" s="28">
        <f>IF(D48&lt;TODAY(),"",D48-TODAY())</f>
        <v/>
      </c>
      <c r="F48" s="29">
        <f>IF(D48&lt;TODAY(),"Vencido",IF(D48-TODAY()&lt;=15,"Vence pronto","Pendiente"))</f>
        <v/>
      </c>
    </row>
    <row r="49">
      <c r="B49" s="22">
        <f>'Datos DIAN 2026'!A30</f>
        <v/>
      </c>
      <c r="C49" s="22">
        <f>'Datos DIAN 2026'!B30</f>
        <v/>
      </c>
      <c r="D49" s="23">
        <f>INDEX('Datos DIAN 2026'!$D$30:$M$30,MATCH($C$12,'Datos DIAN 2026'!$D$1:$M$1,0))</f>
        <v/>
      </c>
      <c r="E49" s="24">
        <f>IF(D49&lt;TODAY(),"",D49-TODAY())</f>
        <v/>
      </c>
      <c r="F49" s="25">
        <f>IF(D49&lt;TODAY(),"Vencido",IF(D49-TODAY()&lt;=15,"Vence pronto","Pendiente"))</f>
        <v/>
      </c>
    </row>
    <row r="50">
      <c r="B50" s="26">
        <f>'Datos DIAN 2026'!A31</f>
        <v/>
      </c>
      <c r="C50" s="26">
        <f>'Datos DIAN 2026'!B31</f>
        <v/>
      </c>
      <c r="D50" s="27">
        <f>INDEX('Datos DIAN 2026'!$D$31:$M$31,MATCH($C$12,'Datos DIAN 2026'!$D$1:$M$1,0))</f>
        <v/>
      </c>
      <c r="E50" s="28">
        <f>IF(D50&lt;TODAY(),"",D50-TODAY())</f>
        <v/>
      </c>
      <c r="F50" s="29">
        <f>IF(D50&lt;TODAY(),"Vencido",IF(D50-TODAY()&lt;=15,"Vence pronto","Pendiente"))</f>
        <v/>
      </c>
    </row>
    <row r="51">
      <c r="B51" s="22">
        <f>'Datos DIAN 2026'!A32</f>
        <v/>
      </c>
      <c r="C51" s="22">
        <f>'Datos DIAN 2026'!B32</f>
        <v/>
      </c>
      <c r="D51" s="23">
        <f>INDEX('Datos DIAN 2026'!$D$32:$M$32,MATCH($C$12,'Datos DIAN 2026'!$D$1:$M$1,0))</f>
        <v/>
      </c>
      <c r="E51" s="24">
        <f>IF(D51&lt;TODAY(),"",D51-TODAY())</f>
        <v/>
      </c>
      <c r="F51" s="25">
        <f>IF(D51&lt;TODAY(),"Vencido",IF(D51-TODAY()&lt;=15,"Vence pronto","Pendiente"))</f>
        <v/>
      </c>
    </row>
    <row r="52">
      <c r="B52" s="26">
        <f>'Datos DIAN 2026'!A33</f>
        <v/>
      </c>
      <c r="C52" s="26">
        <f>'Datos DIAN 2026'!B33</f>
        <v/>
      </c>
      <c r="D52" s="27">
        <f>INDEX('Datos DIAN 2026'!$D$33:$M$33,MATCH($C$12,'Datos DIAN 2026'!$D$1:$M$1,0))</f>
        <v/>
      </c>
      <c r="E52" s="28">
        <f>IF(D52&lt;TODAY(),"",D52-TODAY())</f>
        <v/>
      </c>
      <c r="F52" s="29">
        <f>IF(D52&lt;TODAY(),"Vencido",IF(D52-TODAY()&lt;=15,"Vence pronto","Pendiente"))</f>
        <v/>
      </c>
    </row>
    <row r="53">
      <c r="B53" s="22">
        <f>'Datos DIAN 2026'!A34</f>
        <v/>
      </c>
      <c r="C53" s="22">
        <f>'Datos DIAN 2026'!B34</f>
        <v/>
      </c>
      <c r="D53" s="23">
        <f>INDEX('Datos DIAN 2026'!$D$34:$M$34,MATCH($C$12,'Datos DIAN 2026'!$D$1:$M$1,0))</f>
        <v/>
      </c>
      <c r="E53" s="24">
        <f>IF(D53&lt;TODAY(),"",D53-TODAY())</f>
        <v/>
      </c>
      <c r="F53" s="25">
        <f>IF(D53&lt;TODAY(),"Vencido",IF(D53-TODAY()&lt;=15,"Vence pronto","Pendiente"))</f>
        <v/>
      </c>
    </row>
    <row r="54">
      <c r="B54" s="26">
        <f>'Datos DIAN 2026'!A35</f>
        <v/>
      </c>
      <c r="C54" s="26">
        <f>'Datos DIAN 2026'!B35</f>
        <v/>
      </c>
      <c r="D54" s="27">
        <f>INDEX('Datos DIAN 2026'!$D$35:$M$35,MATCH($C$12,'Datos DIAN 2026'!$D$1:$M$1,0))</f>
        <v/>
      </c>
      <c r="E54" s="28">
        <f>IF(D54&lt;TODAY(),"",D54-TODAY())</f>
        <v/>
      </c>
      <c r="F54" s="29">
        <f>IF(D54&lt;TODAY(),"Vencido",IF(D54-TODAY()&lt;=15,"Vence pronto","Pendiente"))</f>
        <v/>
      </c>
    </row>
    <row r="56" ht="28" customHeight="1">
      <c r="B56" s="30" t="inlineStr">
        <is>
          <t>Revisa solo las filas que te aplican; usa los filtros del encabezado para ver una obligación. «Vence pronto» = 15 días o menos. Fuente: Calendario Tributario 2026 de la DIAN (versión del 1 de julio de 2026).</t>
        </is>
      </c>
    </row>
    <row r="58" ht="8" customHeight="1">
      <c r="A58" s="31" t="n"/>
      <c r="B58" s="31" t="n"/>
      <c r="C58" s="31" t="n"/>
      <c r="D58" s="31" t="n"/>
      <c r="E58" s="31" t="n"/>
      <c r="F58" s="31" t="n"/>
    </row>
    <row r="59">
      <c r="A59" s="32" t="n"/>
      <c r="B59" s="33" t="inlineStr">
        <is>
          <t>¿Prefieres que lo hagamos por ti?</t>
        </is>
      </c>
      <c r="C59" s="32" t="n"/>
      <c r="D59" s="32" t="n"/>
      <c r="E59" s="32" t="n"/>
      <c r="F59" s="32" t="n"/>
    </row>
    <row r="60">
      <c r="A60" s="32" t="n"/>
      <c r="B60" s="34" t="inlineStr">
        <is>
          <t>Contabilidad · Impuestos · Revisoría fiscal y auditoría · Nómina electrónica</t>
        </is>
      </c>
      <c r="C60" s="32" t="n"/>
      <c r="D60" s="32" t="n"/>
      <c r="E60" s="32" t="n"/>
      <c r="F60" s="32" t="n"/>
    </row>
    <row r="61">
      <c r="A61" s="32" t="n"/>
      <c r="B61" s="35" t="inlineStr">
        <is>
          <t>Escríbenos por WhatsApp: 300 507 4934</t>
        </is>
      </c>
      <c r="C61" s="32" t="n"/>
      <c r="D61" s="32" t="n"/>
      <c r="E61" s="32" t="n"/>
      <c r="F61" s="32" t="n"/>
    </row>
    <row r="62">
      <c r="A62" s="32" t="n"/>
      <c r="B62" s="35" t="inlineStr">
        <is>
          <t>Agenda una cita</t>
        </is>
      </c>
      <c r="C62" s="32" t="n"/>
      <c r="D62" s="32" t="n"/>
      <c r="E62" s="32" t="n"/>
      <c r="F62" s="32" t="n"/>
    </row>
    <row r="63">
      <c r="A63" s="32" t="n"/>
      <c r="B63" s="35" t="inlineStr">
        <is>
          <t>Calendario y calculadoras gratis: recursos.solucioncontableyfiscal.com</t>
        </is>
      </c>
      <c r="C63" s="32" t="n"/>
      <c r="D63" s="32" t="n"/>
      <c r="E63" s="32" t="n"/>
      <c r="F63" s="32" t="n"/>
    </row>
    <row r="64">
      <c r="A64" s="32" t="n"/>
      <c r="B64" s="35" t="inlineStr">
        <is>
          <t>Correo: solucontfisc@gmail.com</t>
        </is>
      </c>
      <c r="C64" s="32" t="n"/>
      <c r="D64" s="32" t="n"/>
      <c r="E64" s="32" t="n"/>
      <c r="F64" s="32" t="n"/>
    </row>
    <row r="65">
      <c r="A65" s="32" t="n"/>
      <c r="B65" s="36" t="inlineStr">
        <is>
          <t>SOLUCION CONTABLE Y FISCAL S.A.S. · Vía 40 #73-290, Edificio Mix, Oficina 612, Barranquilla · Atención virtual en toda Colombia</t>
        </is>
      </c>
      <c r="C65" s="32" t="n"/>
      <c r="D65" s="32" t="n"/>
      <c r="E65" s="32" t="n"/>
      <c r="F65" s="32" t="n"/>
    </row>
    <row r="66">
      <c r="A66" s="32" t="n"/>
      <c r="B66" s="37" t="inlineStr">
        <is>
          <t>Información de referencia; no reemplaza la asesoría profesional. Verifica tu caso particular con un contador.</t>
        </is>
      </c>
      <c r="C66" s="32" t="n"/>
      <c r="D66" s="32" t="n"/>
      <c r="E66" s="32" t="n"/>
      <c r="F66" s="32" t="n"/>
    </row>
    <row r="67" ht="8" customHeight="1">
      <c r="A67" s="32" t="n"/>
      <c r="B67" s="32" t="n"/>
      <c r="C67" s="32" t="n"/>
      <c r="D67" s="32" t="n"/>
      <c r="E67" s="32" t="n"/>
      <c r="F67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20:F54"/>
  <mergeCells count="16">
    <mergeCell ref="B4:F4"/>
    <mergeCell ref="B65:F65"/>
    <mergeCell ref="B2:F2"/>
    <mergeCell ref="B62:F62"/>
    <mergeCell ref="B64:F64"/>
    <mergeCell ref="B10:F10"/>
    <mergeCell ref="B3:F3"/>
    <mergeCell ref="B19:F19"/>
    <mergeCell ref="B59:F59"/>
    <mergeCell ref="B60:F60"/>
    <mergeCell ref="B66:F66"/>
    <mergeCell ref="D17:F17"/>
    <mergeCell ref="B61:F61"/>
    <mergeCell ref="B63:F63"/>
    <mergeCell ref="B14:F14"/>
    <mergeCell ref="B56:F56"/>
  </mergeCells>
  <conditionalFormatting sqref="B21:F54">
    <cfRule type="expression" priority="1" dxfId="0">
      <formula>$F21="Vencido"</formula>
    </cfRule>
    <cfRule type="expression" priority="2" dxfId="1">
      <formula>$F21="Vence pronto"</formula>
    </cfRule>
  </conditionalFormatting>
  <conditionalFormatting sqref="F21:F54">
    <cfRule type="expression" priority="3" dxfId="2">
      <formula>$F21="Pendiente"</formula>
    </cfRule>
  </conditionalFormatting>
  <dataValidations count="1">
    <dataValidation sqref="C11" showDropDown="0" showInputMessage="1" showErrorMessage="1" allowBlank="0" errorTitle="Dígitos del NIT" error="Escribe un número de 00 a 99." promptTitle="Tu NIT" prompt="Los dos últimos dígitos, sin el dígito de verificación." type="whole" operator="between">
      <formula1>0</formula1>
      <formula2>99</formula2>
    </dataValidation>
  </dataValidations>
  <hyperlinks>
    <hyperlink xmlns:r="http://schemas.openxmlformats.org/officeDocument/2006/relationships" ref="B61" r:id="rId1"/>
    <hyperlink xmlns:r="http://schemas.openxmlformats.org/officeDocument/2006/relationships" ref="B62" r:id="rId2"/>
    <hyperlink xmlns:r="http://schemas.openxmlformats.org/officeDocument/2006/relationships" ref="B63" r:id="rId3"/>
    <hyperlink xmlns:r="http://schemas.openxmlformats.org/officeDocument/2006/relationships" ref="B64" r:id="rId4"/>
  </hyperlinks>
  <printOptions horizontalCentered="1"/>
  <pageMargins left="0.4" right="0.4" top="1" bottom="1" header="0.5" footer="0.5"/>
  <pageSetup orientation="portrait" paperSize="1" fitToHeight="0" fitToWidth="1"/>
  <headerFooter>
    <oddHeader/>
    <oddFooter>&amp;L&amp;8 Solución Contable y Fiscal · WhatsApp 300 507 4934&amp;R&amp;8 Página &amp;P de &amp;N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tabColor rgb="00C9AD69"/>
    <outlinePr summaryBelow="1" summaryRight="1"/>
    <pageSetUpPr fitToPage="1"/>
  </sheetPr>
  <dimension ref="A1:Q1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6" max="16"/>
    <col width="24" customWidth="1" min="17" max="17"/>
  </cols>
  <sheetData>
    <row r="1">
      <c r="A1" s="38" t="inlineStr">
        <is>
          <t>Obligación</t>
        </is>
      </c>
      <c r="B1" s="38" t="inlineStr">
        <is>
          <t>Período</t>
        </is>
      </c>
      <c r="C1" s="38" t="inlineStr">
        <is>
          <t>Mes de vencimiento</t>
        </is>
      </c>
      <c r="D1" s="38" t="n">
        <v>1</v>
      </c>
      <c r="E1" s="38" t="n">
        <v>2</v>
      </c>
      <c r="F1" s="38" t="n">
        <v>3</v>
      </c>
      <c r="G1" s="38" t="n">
        <v>4</v>
      </c>
      <c r="H1" s="38" t="n">
        <v>5</v>
      </c>
      <c r="I1" s="38" t="n">
        <v>6</v>
      </c>
      <c r="J1" s="38" t="n">
        <v>7</v>
      </c>
      <c r="K1" s="38" t="n">
        <v>8</v>
      </c>
      <c r="L1" s="38" t="n">
        <v>9</v>
      </c>
      <c r="M1" s="38" t="n">
        <v>0</v>
      </c>
      <c r="P1" s="39" t="inlineStr">
        <is>
          <t>Dos últimos dígitos</t>
        </is>
      </c>
      <c r="Q1" s="39" t="inlineStr">
        <is>
          <t>Renta personas naturales</t>
        </is>
      </c>
    </row>
    <row r="2">
      <c r="A2" s="40" t="inlineStr">
        <is>
          <t>Renta grandes contribuyentes</t>
        </is>
      </c>
      <c r="B2" s="40" t="inlineStr">
        <is>
          <t>Pago 1.ª cuota</t>
        </is>
      </c>
      <c r="C2" s="40" t="inlineStr">
        <is>
          <t>2026-02</t>
        </is>
      </c>
      <c r="D2" s="41" t="n">
        <v>46063</v>
      </c>
      <c r="E2" s="41" t="n">
        <v>46064</v>
      </c>
      <c r="F2" s="41" t="n">
        <v>46065</v>
      </c>
      <c r="G2" s="41" t="n">
        <v>46066</v>
      </c>
      <c r="H2" s="41" t="n">
        <v>46069</v>
      </c>
      <c r="I2" s="41" t="n">
        <v>46070</v>
      </c>
      <c r="J2" s="41" t="n">
        <v>46071</v>
      </c>
      <c r="K2" s="41" t="n">
        <v>46072</v>
      </c>
      <c r="L2" s="41" t="n">
        <v>46073</v>
      </c>
      <c r="M2" s="41" t="n">
        <v>46076</v>
      </c>
      <c r="P2" s="42" t="n">
        <v>0</v>
      </c>
      <c r="Q2" s="43" t="n">
        <v>46321</v>
      </c>
    </row>
    <row r="3">
      <c r="A3" s="40" t="inlineStr">
        <is>
          <t>Renta grandes contribuyentes</t>
        </is>
      </c>
      <c r="B3" s="40" t="inlineStr">
        <is>
          <t>Declaración y pago 2.ª cuota</t>
        </is>
      </c>
      <c r="C3" s="40" t="inlineStr">
        <is>
          <t>2026-04</t>
        </is>
      </c>
      <c r="D3" s="41" t="n">
        <v>46125</v>
      </c>
      <c r="E3" s="41" t="n">
        <v>46126</v>
      </c>
      <c r="F3" s="41" t="n">
        <v>46127</v>
      </c>
      <c r="G3" s="41" t="n">
        <v>46128</v>
      </c>
      <c r="H3" s="41" t="n">
        <v>46132</v>
      </c>
      <c r="I3" s="41" t="n">
        <v>46133</v>
      </c>
      <c r="J3" s="41" t="n">
        <v>46134</v>
      </c>
      <c r="K3" s="41" t="n">
        <v>46135</v>
      </c>
      <c r="L3" s="41" t="n">
        <v>46136</v>
      </c>
      <c r="M3" s="41" t="n">
        <v>46139</v>
      </c>
      <c r="P3" s="42" t="n">
        <v>1</v>
      </c>
      <c r="Q3" s="43" t="n">
        <v>46246</v>
      </c>
    </row>
    <row r="4">
      <c r="A4" s="40" t="inlineStr">
        <is>
          <t>Renta grandes contribuyentes</t>
        </is>
      </c>
      <c r="B4" s="40" t="inlineStr">
        <is>
          <t>Pago 3.ª cuota</t>
        </is>
      </c>
      <c r="C4" s="40" t="inlineStr">
        <is>
          <t>2026-06</t>
        </is>
      </c>
      <c r="D4" s="41" t="n">
        <v>46183</v>
      </c>
      <c r="E4" s="41" t="n">
        <v>46184</v>
      </c>
      <c r="F4" s="41" t="n">
        <v>46185</v>
      </c>
      <c r="G4" s="41" t="n">
        <v>46189</v>
      </c>
      <c r="H4" s="41" t="n">
        <v>46190</v>
      </c>
      <c r="I4" s="41" t="n">
        <v>46191</v>
      </c>
      <c r="J4" s="41" t="n">
        <v>46192</v>
      </c>
      <c r="K4" s="41" t="n">
        <v>46195</v>
      </c>
      <c r="L4" s="41" t="n">
        <v>46196</v>
      </c>
      <c r="M4" s="41" t="n">
        <v>46197</v>
      </c>
      <c r="P4" s="42" t="n">
        <v>2</v>
      </c>
      <c r="Q4" s="43" t="n">
        <v>46246</v>
      </c>
    </row>
    <row r="5">
      <c r="A5" s="40" t="inlineStr">
        <is>
          <t>Renta personas jurídicas</t>
        </is>
      </c>
      <c r="B5" s="40" t="inlineStr">
        <is>
          <t>Declaración y pago 1.ª cuota</t>
        </is>
      </c>
      <c r="C5" s="40" t="inlineStr">
        <is>
          <t>2026-05</t>
        </is>
      </c>
      <c r="D5" s="41" t="n">
        <v>46154</v>
      </c>
      <c r="E5" s="41" t="n">
        <v>46155</v>
      </c>
      <c r="F5" s="41" t="n">
        <v>46156</v>
      </c>
      <c r="G5" s="41" t="n">
        <v>46157</v>
      </c>
      <c r="H5" s="41" t="n">
        <v>46161</v>
      </c>
      <c r="I5" s="41" t="n">
        <v>46162</v>
      </c>
      <c r="J5" s="41" t="n">
        <v>46163</v>
      </c>
      <c r="K5" s="41" t="n">
        <v>46164</v>
      </c>
      <c r="L5" s="41" t="n">
        <v>46167</v>
      </c>
      <c r="M5" s="41" t="n">
        <v>46168</v>
      </c>
      <c r="P5" s="42" t="n">
        <v>3</v>
      </c>
      <c r="Q5" s="43" t="n">
        <v>46247</v>
      </c>
    </row>
    <row r="6">
      <c r="A6" s="40" t="inlineStr">
        <is>
          <t>Renta personas jurídicas</t>
        </is>
      </c>
      <c r="B6" s="40" t="inlineStr">
        <is>
          <t>Pago 2.ª cuota</t>
        </is>
      </c>
      <c r="C6" s="40" t="inlineStr">
        <is>
          <t>2026-07</t>
        </is>
      </c>
      <c r="D6" s="41" t="n">
        <v>46212</v>
      </c>
      <c r="E6" s="41" t="n">
        <v>46213</v>
      </c>
      <c r="F6" s="41" t="n">
        <v>46217</v>
      </c>
      <c r="G6" s="41" t="n">
        <v>46218</v>
      </c>
      <c r="H6" s="41" t="n">
        <v>46219</v>
      </c>
      <c r="I6" s="41" t="n">
        <v>46220</v>
      </c>
      <c r="J6" s="41" t="n">
        <v>46224</v>
      </c>
      <c r="K6" s="41" t="n">
        <v>46225</v>
      </c>
      <c r="L6" s="41" t="n">
        <v>46226</v>
      </c>
      <c r="M6" s="41" t="n">
        <v>46227</v>
      </c>
      <c r="P6" s="42" t="n">
        <v>4</v>
      </c>
      <c r="Q6" s="43" t="n">
        <v>46247</v>
      </c>
    </row>
    <row r="7">
      <c r="A7" s="40" t="inlineStr">
        <is>
          <t>IVA bimestral</t>
        </is>
      </c>
      <c r="B7" s="40" t="inlineStr">
        <is>
          <t>enero–febrero</t>
        </is>
      </c>
      <c r="C7" s="40" t="inlineStr">
        <is>
          <t>2026-03</t>
        </is>
      </c>
      <c r="D7" s="41" t="n">
        <v>46091</v>
      </c>
      <c r="E7" s="41" t="n">
        <v>46092</v>
      </c>
      <c r="F7" s="41" t="n">
        <v>46093</v>
      </c>
      <c r="G7" s="41" t="n">
        <v>46094</v>
      </c>
      <c r="H7" s="41" t="n">
        <v>46097</v>
      </c>
      <c r="I7" s="41" t="n">
        <v>46098</v>
      </c>
      <c r="J7" s="41" t="n">
        <v>46099</v>
      </c>
      <c r="K7" s="41" t="n">
        <v>46100</v>
      </c>
      <c r="L7" s="41" t="n">
        <v>46101</v>
      </c>
      <c r="M7" s="41" t="n">
        <v>46105</v>
      </c>
      <c r="P7" s="42" t="n">
        <v>5</v>
      </c>
      <c r="Q7" s="43" t="n">
        <v>46248</v>
      </c>
    </row>
    <row r="8">
      <c r="A8" s="40" t="inlineStr">
        <is>
          <t>IVA bimestral</t>
        </is>
      </c>
      <c r="B8" s="40" t="inlineStr">
        <is>
          <t>marzo–abril</t>
        </is>
      </c>
      <c r="C8" s="40" t="inlineStr">
        <is>
          <t>2026-05</t>
        </is>
      </c>
      <c r="D8" s="41" t="n">
        <v>46154</v>
      </c>
      <c r="E8" s="41" t="n">
        <v>46155</v>
      </c>
      <c r="F8" s="41" t="n">
        <v>46156</v>
      </c>
      <c r="G8" s="41" t="n">
        <v>46157</v>
      </c>
      <c r="H8" s="41" t="n">
        <v>46161</v>
      </c>
      <c r="I8" s="41" t="n">
        <v>46162</v>
      </c>
      <c r="J8" s="41" t="n">
        <v>46163</v>
      </c>
      <c r="K8" s="41" t="n">
        <v>46164</v>
      </c>
      <c r="L8" s="41" t="n">
        <v>46167</v>
      </c>
      <c r="M8" s="41" t="n">
        <v>46168</v>
      </c>
      <c r="P8" s="42" t="n">
        <v>6</v>
      </c>
      <c r="Q8" s="43" t="n">
        <v>46248</v>
      </c>
    </row>
    <row r="9">
      <c r="A9" s="40" t="inlineStr">
        <is>
          <t>IVA bimestral</t>
        </is>
      </c>
      <c r="B9" s="40" t="inlineStr">
        <is>
          <t>mayo–junio</t>
        </is>
      </c>
      <c r="C9" s="40" t="inlineStr">
        <is>
          <t>2026-07</t>
        </is>
      </c>
      <c r="D9" s="41" t="n">
        <v>46212</v>
      </c>
      <c r="E9" s="41" t="n">
        <v>46213</v>
      </c>
      <c r="F9" s="41" t="n">
        <v>46217</v>
      </c>
      <c r="G9" s="41" t="n">
        <v>46218</v>
      </c>
      <c r="H9" s="41" t="n">
        <v>46219</v>
      </c>
      <c r="I9" s="41" t="n">
        <v>46220</v>
      </c>
      <c r="J9" s="41" t="n">
        <v>46224</v>
      </c>
      <c r="K9" s="41" t="n">
        <v>46225</v>
      </c>
      <c r="L9" s="41" t="n">
        <v>46226</v>
      </c>
      <c r="M9" s="41" t="n">
        <v>46227</v>
      </c>
      <c r="P9" s="42" t="n">
        <v>7</v>
      </c>
      <c r="Q9" s="43" t="n">
        <v>46252</v>
      </c>
    </row>
    <row r="10">
      <c r="A10" s="40" t="inlineStr">
        <is>
          <t>IVA bimestral</t>
        </is>
      </c>
      <c r="B10" s="40" t="inlineStr">
        <is>
          <t>julio–agosto</t>
        </is>
      </c>
      <c r="C10" s="40" t="inlineStr">
        <is>
          <t>2026-09</t>
        </is>
      </c>
      <c r="D10" s="41" t="n">
        <v>46274</v>
      </c>
      <c r="E10" s="41" t="n">
        <v>46275</v>
      </c>
      <c r="F10" s="41" t="n">
        <v>46276</v>
      </c>
      <c r="G10" s="41" t="n">
        <v>46279</v>
      </c>
      <c r="H10" s="41" t="n">
        <v>46280</v>
      </c>
      <c r="I10" s="41" t="n">
        <v>46281</v>
      </c>
      <c r="J10" s="41" t="n">
        <v>46282</v>
      </c>
      <c r="K10" s="41" t="n">
        <v>46283</v>
      </c>
      <c r="L10" s="41" t="n">
        <v>46286</v>
      </c>
      <c r="M10" s="41" t="n">
        <v>46287</v>
      </c>
      <c r="P10" s="42" t="n">
        <v>8</v>
      </c>
      <c r="Q10" s="43" t="n">
        <v>46252</v>
      </c>
    </row>
    <row r="11">
      <c r="A11" s="40" t="inlineStr">
        <is>
          <t>IVA bimestral</t>
        </is>
      </c>
      <c r="B11" s="40" t="inlineStr">
        <is>
          <t>septiembre–octubre</t>
        </is>
      </c>
      <c r="C11" s="40" t="inlineStr">
        <is>
          <t>2026-11</t>
        </is>
      </c>
      <c r="D11" s="41" t="n">
        <v>46337</v>
      </c>
      <c r="E11" s="41" t="n">
        <v>46338</v>
      </c>
      <c r="F11" s="41" t="n">
        <v>46339</v>
      </c>
      <c r="G11" s="41" t="n">
        <v>46343</v>
      </c>
      <c r="H11" s="41" t="n">
        <v>46344</v>
      </c>
      <c r="I11" s="41" t="n">
        <v>46345</v>
      </c>
      <c r="J11" s="41" t="n">
        <v>46346</v>
      </c>
      <c r="K11" s="41" t="n">
        <v>46349</v>
      </c>
      <c r="L11" s="41" t="n">
        <v>46350</v>
      </c>
      <c r="M11" s="41" t="n">
        <v>46351</v>
      </c>
      <c r="P11" s="42" t="n">
        <v>9</v>
      </c>
      <c r="Q11" s="43" t="n">
        <v>46253</v>
      </c>
    </row>
    <row r="12">
      <c r="A12" s="40" t="inlineStr">
        <is>
          <t>IVA bimestral</t>
        </is>
      </c>
      <c r="B12" s="40" t="inlineStr">
        <is>
          <t>noviembre–diciembre</t>
        </is>
      </c>
      <c r="C12" s="40" t="inlineStr">
        <is>
          <t>2027-01</t>
        </is>
      </c>
      <c r="D12" s="41" t="n">
        <v>46400</v>
      </c>
      <c r="E12" s="41" t="n">
        <v>46401</v>
      </c>
      <c r="F12" s="41" t="n">
        <v>46402</v>
      </c>
      <c r="G12" s="41" t="n">
        <v>46405</v>
      </c>
      <c r="H12" s="41" t="n">
        <v>46406</v>
      </c>
      <c r="I12" s="41" t="n">
        <v>46407</v>
      </c>
      <c r="J12" s="41" t="n">
        <v>46408</v>
      </c>
      <c r="K12" s="41" t="n">
        <v>46409</v>
      </c>
      <c r="L12" s="41" t="n">
        <v>46412</v>
      </c>
      <c r="M12" s="41" t="n">
        <v>46413</v>
      </c>
      <c r="P12" s="42" t="n">
        <v>10</v>
      </c>
      <c r="Q12" s="43" t="n">
        <v>46253</v>
      </c>
    </row>
    <row r="13">
      <c r="A13" s="40" t="inlineStr">
        <is>
          <t>IVA cuatrimestral</t>
        </is>
      </c>
      <c r="B13" s="40" t="inlineStr">
        <is>
          <t>enero–abril</t>
        </is>
      </c>
      <c r="C13" s="40" t="inlineStr">
        <is>
          <t>2026-05</t>
        </is>
      </c>
      <c r="D13" s="41" t="n">
        <v>46154</v>
      </c>
      <c r="E13" s="41" t="n">
        <v>46155</v>
      </c>
      <c r="F13" s="41" t="n">
        <v>46156</v>
      </c>
      <c r="G13" s="41" t="n">
        <v>46157</v>
      </c>
      <c r="H13" s="41" t="n">
        <v>46161</v>
      </c>
      <c r="I13" s="41" t="n">
        <v>46162</v>
      </c>
      <c r="J13" s="41" t="n">
        <v>46163</v>
      </c>
      <c r="K13" s="41" t="n">
        <v>46164</v>
      </c>
      <c r="L13" s="41" t="n">
        <v>46167</v>
      </c>
      <c r="M13" s="41" t="n">
        <v>46168</v>
      </c>
      <c r="P13" s="42" t="n">
        <v>11</v>
      </c>
      <c r="Q13" s="43" t="n">
        <v>46254</v>
      </c>
    </row>
    <row r="14">
      <c r="A14" s="40" t="inlineStr">
        <is>
          <t>IVA cuatrimestral</t>
        </is>
      </c>
      <c r="B14" s="40" t="inlineStr">
        <is>
          <t>mayo–agosto</t>
        </is>
      </c>
      <c r="C14" s="40" t="inlineStr">
        <is>
          <t>2026-09</t>
        </is>
      </c>
      <c r="D14" s="41" t="n">
        <v>46274</v>
      </c>
      <c r="E14" s="41" t="n">
        <v>46275</v>
      </c>
      <c r="F14" s="41" t="n">
        <v>46276</v>
      </c>
      <c r="G14" s="41" t="n">
        <v>46279</v>
      </c>
      <c r="H14" s="41" t="n">
        <v>46280</v>
      </c>
      <c r="I14" s="41" t="n">
        <v>46281</v>
      </c>
      <c r="J14" s="41" t="n">
        <v>46282</v>
      </c>
      <c r="K14" s="41" t="n">
        <v>46283</v>
      </c>
      <c r="L14" s="41" t="n">
        <v>46286</v>
      </c>
      <c r="M14" s="41" t="n">
        <v>46287</v>
      </c>
      <c r="P14" s="42" t="n">
        <v>12</v>
      </c>
      <c r="Q14" s="43" t="n">
        <v>46254</v>
      </c>
    </row>
    <row r="15">
      <c r="A15" s="40" t="inlineStr">
        <is>
          <t>IVA cuatrimestral</t>
        </is>
      </c>
      <c r="B15" s="40" t="inlineStr">
        <is>
          <t>septiembre–diciembre</t>
        </is>
      </c>
      <c r="C15" s="40" t="inlineStr">
        <is>
          <t>2027-01</t>
        </is>
      </c>
      <c r="D15" s="41" t="n">
        <v>46400</v>
      </c>
      <c r="E15" s="41" t="n">
        <v>46401</v>
      </c>
      <c r="F15" s="41" t="n">
        <v>46402</v>
      </c>
      <c r="G15" s="41" t="n">
        <v>46405</v>
      </c>
      <c r="H15" s="41" t="n">
        <v>46406</v>
      </c>
      <c r="I15" s="41" t="n">
        <v>46407</v>
      </c>
      <c r="J15" s="41" t="n">
        <v>46408</v>
      </c>
      <c r="K15" s="41" t="n">
        <v>46409</v>
      </c>
      <c r="L15" s="41" t="n">
        <v>46412</v>
      </c>
      <c r="M15" s="41" t="n">
        <v>46413</v>
      </c>
      <c r="P15" s="42" t="n">
        <v>13</v>
      </c>
      <c r="Q15" s="43" t="n">
        <v>46255</v>
      </c>
    </row>
    <row r="16">
      <c r="A16" s="40" t="inlineStr">
        <is>
          <t>Retención en la fuente</t>
        </is>
      </c>
      <c r="B16" s="40" t="inlineStr">
        <is>
          <t>enero</t>
        </is>
      </c>
      <c r="C16" s="40" t="inlineStr">
        <is>
          <t>2026-02</t>
        </is>
      </c>
      <c r="D16" s="41" t="n">
        <v>46063</v>
      </c>
      <c r="E16" s="41" t="n">
        <v>46064</v>
      </c>
      <c r="F16" s="41" t="n">
        <v>46065</v>
      </c>
      <c r="G16" s="41" t="n">
        <v>46066</v>
      </c>
      <c r="H16" s="41" t="n">
        <v>46069</v>
      </c>
      <c r="I16" s="41" t="n">
        <v>46070</v>
      </c>
      <c r="J16" s="41" t="n">
        <v>46071</v>
      </c>
      <c r="K16" s="41" t="n">
        <v>46072</v>
      </c>
      <c r="L16" s="41" t="n">
        <v>46073</v>
      </c>
      <c r="M16" s="41" t="n">
        <v>46076</v>
      </c>
      <c r="P16" s="42" t="n">
        <v>14</v>
      </c>
      <c r="Q16" s="43" t="n">
        <v>46255</v>
      </c>
    </row>
    <row r="17">
      <c r="A17" s="40" t="inlineStr">
        <is>
          <t>Retención en la fuente</t>
        </is>
      </c>
      <c r="B17" s="40" t="inlineStr">
        <is>
          <t>febrero</t>
        </is>
      </c>
      <c r="C17" s="40" t="inlineStr">
        <is>
          <t>2026-03</t>
        </is>
      </c>
      <c r="D17" s="41" t="n">
        <v>46091</v>
      </c>
      <c r="E17" s="41" t="n">
        <v>46092</v>
      </c>
      <c r="F17" s="41" t="n">
        <v>46093</v>
      </c>
      <c r="G17" s="41" t="n">
        <v>46094</v>
      </c>
      <c r="H17" s="41" t="n">
        <v>46097</v>
      </c>
      <c r="I17" s="41" t="n">
        <v>46098</v>
      </c>
      <c r="J17" s="41" t="n">
        <v>46099</v>
      </c>
      <c r="K17" s="41" t="n">
        <v>46100</v>
      </c>
      <c r="L17" s="41" t="n">
        <v>46101</v>
      </c>
      <c r="M17" s="41" t="n">
        <v>46105</v>
      </c>
      <c r="P17" s="42" t="n">
        <v>15</v>
      </c>
      <c r="Q17" s="43" t="n">
        <v>46258</v>
      </c>
    </row>
    <row r="18">
      <c r="A18" s="40" t="inlineStr">
        <is>
          <t>Retención en la fuente</t>
        </is>
      </c>
      <c r="B18" s="40" t="inlineStr">
        <is>
          <t>marzo</t>
        </is>
      </c>
      <c r="C18" s="40" t="inlineStr">
        <is>
          <t>2026-04</t>
        </is>
      </c>
      <c r="D18" s="41" t="n">
        <v>46125</v>
      </c>
      <c r="E18" s="41" t="n">
        <v>46126</v>
      </c>
      <c r="F18" s="41" t="n">
        <v>46127</v>
      </c>
      <c r="G18" s="41" t="n">
        <v>46128</v>
      </c>
      <c r="H18" s="41" t="n">
        <v>46132</v>
      </c>
      <c r="I18" s="41" t="n">
        <v>46133</v>
      </c>
      <c r="J18" s="41" t="n">
        <v>46134</v>
      </c>
      <c r="K18" s="41" t="n">
        <v>46135</v>
      </c>
      <c r="L18" s="41" t="n">
        <v>46136</v>
      </c>
      <c r="M18" s="41" t="n">
        <v>46139</v>
      </c>
      <c r="P18" s="42" t="n">
        <v>16</v>
      </c>
      <c r="Q18" s="43" t="n">
        <v>46258</v>
      </c>
    </row>
    <row r="19">
      <c r="A19" s="40" t="inlineStr">
        <is>
          <t>Retención en la fuente</t>
        </is>
      </c>
      <c r="B19" s="40" t="inlineStr">
        <is>
          <t>abril</t>
        </is>
      </c>
      <c r="C19" s="40" t="inlineStr">
        <is>
          <t>2026-05</t>
        </is>
      </c>
      <c r="D19" s="41" t="n">
        <v>46154</v>
      </c>
      <c r="E19" s="41" t="n">
        <v>46155</v>
      </c>
      <c r="F19" s="41" t="n">
        <v>46156</v>
      </c>
      <c r="G19" s="41" t="n">
        <v>46157</v>
      </c>
      <c r="H19" s="41" t="n">
        <v>46161</v>
      </c>
      <c r="I19" s="41" t="n">
        <v>46162</v>
      </c>
      <c r="J19" s="41" t="n">
        <v>46163</v>
      </c>
      <c r="K19" s="41" t="n">
        <v>46164</v>
      </c>
      <c r="L19" s="41" t="n">
        <v>46167</v>
      </c>
      <c r="M19" s="41" t="n">
        <v>46168</v>
      </c>
      <c r="P19" s="42" t="n">
        <v>17</v>
      </c>
      <c r="Q19" s="43" t="n">
        <v>46259</v>
      </c>
    </row>
    <row r="20">
      <c r="A20" s="40" t="inlineStr">
        <is>
          <t>Retención en la fuente</t>
        </is>
      </c>
      <c r="B20" s="40" t="inlineStr">
        <is>
          <t>mayo</t>
        </is>
      </c>
      <c r="C20" s="40" t="inlineStr">
        <is>
          <t>2026-06</t>
        </is>
      </c>
      <c r="D20" s="41" t="n">
        <v>46183</v>
      </c>
      <c r="E20" s="41" t="n">
        <v>46184</v>
      </c>
      <c r="F20" s="41" t="n">
        <v>46185</v>
      </c>
      <c r="G20" s="41" t="n">
        <v>46189</v>
      </c>
      <c r="H20" s="41" t="n">
        <v>46190</v>
      </c>
      <c r="I20" s="41" t="n">
        <v>46191</v>
      </c>
      <c r="J20" s="41" t="n">
        <v>46192</v>
      </c>
      <c r="K20" s="41" t="n">
        <v>46195</v>
      </c>
      <c r="L20" s="41" t="n">
        <v>46196</v>
      </c>
      <c r="M20" s="41" t="n">
        <v>46197</v>
      </c>
      <c r="P20" s="42" t="n">
        <v>18</v>
      </c>
      <c r="Q20" s="43" t="n">
        <v>46259</v>
      </c>
    </row>
    <row r="21">
      <c r="A21" s="40" t="inlineStr">
        <is>
          <t>Retención en la fuente</t>
        </is>
      </c>
      <c r="B21" s="40" t="inlineStr">
        <is>
          <t>junio</t>
        </is>
      </c>
      <c r="C21" s="40" t="inlineStr">
        <is>
          <t>2026-07</t>
        </is>
      </c>
      <c r="D21" s="41" t="n">
        <v>46212</v>
      </c>
      <c r="E21" s="41" t="n">
        <v>46213</v>
      </c>
      <c r="F21" s="41" t="n">
        <v>46217</v>
      </c>
      <c r="G21" s="41" t="n">
        <v>46218</v>
      </c>
      <c r="H21" s="41" t="n">
        <v>46219</v>
      </c>
      <c r="I21" s="41" t="n">
        <v>46220</v>
      </c>
      <c r="J21" s="41" t="n">
        <v>46224</v>
      </c>
      <c r="K21" s="41" t="n">
        <v>46225</v>
      </c>
      <c r="L21" s="41" t="n">
        <v>46226</v>
      </c>
      <c r="M21" s="41" t="n">
        <v>46227</v>
      </c>
      <c r="P21" s="42" t="n">
        <v>19</v>
      </c>
      <c r="Q21" s="43" t="n">
        <v>46260</v>
      </c>
    </row>
    <row r="22">
      <c r="A22" s="40" t="inlineStr">
        <is>
          <t>Retención en la fuente</t>
        </is>
      </c>
      <c r="B22" s="40" t="inlineStr">
        <is>
          <t>julio</t>
        </is>
      </c>
      <c r="C22" s="40" t="inlineStr">
        <is>
          <t>2026-08</t>
        </is>
      </c>
      <c r="D22" s="41" t="n">
        <v>46246</v>
      </c>
      <c r="E22" s="41" t="n">
        <v>46247</v>
      </c>
      <c r="F22" s="41" t="n">
        <v>46248</v>
      </c>
      <c r="G22" s="41" t="n">
        <v>46252</v>
      </c>
      <c r="H22" s="41" t="n">
        <v>46253</v>
      </c>
      <c r="I22" s="41" t="n">
        <v>46254</v>
      </c>
      <c r="J22" s="41" t="n">
        <v>46255</v>
      </c>
      <c r="K22" s="41" t="n">
        <v>46258</v>
      </c>
      <c r="L22" s="41" t="n">
        <v>46259</v>
      </c>
      <c r="M22" s="41" t="n">
        <v>46260</v>
      </c>
      <c r="P22" s="42" t="n">
        <v>20</v>
      </c>
      <c r="Q22" s="43" t="n">
        <v>46260</v>
      </c>
    </row>
    <row r="23">
      <c r="A23" s="40" t="inlineStr">
        <is>
          <t>Retención en la fuente</t>
        </is>
      </c>
      <c r="B23" s="40" t="inlineStr">
        <is>
          <t>agosto</t>
        </is>
      </c>
      <c r="C23" s="40" t="inlineStr">
        <is>
          <t>2026-09</t>
        </is>
      </c>
      <c r="D23" s="41" t="n">
        <v>46274</v>
      </c>
      <c r="E23" s="41" t="n">
        <v>46275</v>
      </c>
      <c r="F23" s="41" t="n">
        <v>46276</v>
      </c>
      <c r="G23" s="41" t="n">
        <v>46279</v>
      </c>
      <c r="H23" s="41" t="n">
        <v>46280</v>
      </c>
      <c r="I23" s="41" t="n">
        <v>46281</v>
      </c>
      <c r="J23" s="41" t="n">
        <v>46282</v>
      </c>
      <c r="K23" s="41" t="n">
        <v>46283</v>
      </c>
      <c r="L23" s="41" t="n">
        <v>46286</v>
      </c>
      <c r="M23" s="41" t="n">
        <v>46287</v>
      </c>
      <c r="P23" s="42" t="n">
        <v>21</v>
      </c>
      <c r="Q23" s="43" t="n">
        <v>46261</v>
      </c>
    </row>
    <row r="24">
      <c r="A24" s="40" t="inlineStr">
        <is>
          <t>Retención en la fuente</t>
        </is>
      </c>
      <c r="B24" s="40" t="inlineStr">
        <is>
          <t>septiembre</t>
        </is>
      </c>
      <c r="C24" s="40" t="inlineStr">
        <is>
          <t>2026-10</t>
        </is>
      </c>
      <c r="D24" s="41" t="n">
        <v>46304</v>
      </c>
      <c r="E24" s="41" t="n">
        <v>46308</v>
      </c>
      <c r="F24" s="41" t="n">
        <v>46309</v>
      </c>
      <c r="G24" s="41" t="n">
        <v>46310</v>
      </c>
      <c r="H24" s="41" t="n">
        <v>46311</v>
      </c>
      <c r="I24" s="41" t="n">
        <v>46314</v>
      </c>
      <c r="J24" s="41" t="n">
        <v>46315</v>
      </c>
      <c r="K24" s="41" t="n">
        <v>46316</v>
      </c>
      <c r="L24" s="41" t="n">
        <v>46317</v>
      </c>
      <c r="M24" s="41" t="n">
        <v>46318</v>
      </c>
      <c r="P24" s="42" t="n">
        <v>22</v>
      </c>
      <c r="Q24" s="43" t="n">
        <v>46261</v>
      </c>
    </row>
    <row r="25">
      <c r="A25" s="40" t="inlineStr">
        <is>
          <t>Retención en la fuente</t>
        </is>
      </c>
      <c r="B25" s="40" t="inlineStr">
        <is>
          <t>octubre</t>
        </is>
      </c>
      <c r="C25" s="40" t="inlineStr">
        <is>
          <t>2026-11</t>
        </is>
      </c>
      <c r="D25" s="41" t="n">
        <v>46337</v>
      </c>
      <c r="E25" s="41" t="n">
        <v>46338</v>
      </c>
      <c r="F25" s="41" t="n">
        <v>46339</v>
      </c>
      <c r="G25" s="41" t="n">
        <v>46343</v>
      </c>
      <c r="H25" s="41" t="n">
        <v>46344</v>
      </c>
      <c r="I25" s="41" t="n">
        <v>46345</v>
      </c>
      <c r="J25" s="41" t="n">
        <v>46346</v>
      </c>
      <c r="K25" s="41" t="n">
        <v>46349</v>
      </c>
      <c r="L25" s="41" t="n">
        <v>46350</v>
      </c>
      <c r="M25" s="41" t="n">
        <v>46351</v>
      </c>
      <c r="P25" s="42" t="n">
        <v>23</v>
      </c>
      <c r="Q25" s="43" t="n">
        <v>46262</v>
      </c>
    </row>
    <row r="26">
      <c r="A26" s="40" t="inlineStr">
        <is>
          <t>Retención en la fuente</t>
        </is>
      </c>
      <c r="B26" s="40" t="inlineStr">
        <is>
          <t>noviembre</t>
        </is>
      </c>
      <c r="C26" s="40" t="inlineStr">
        <is>
          <t>2026-12</t>
        </is>
      </c>
      <c r="D26" s="41" t="n">
        <v>46366</v>
      </c>
      <c r="E26" s="41" t="n">
        <v>46367</v>
      </c>
      <c r="F26" s="41" t="n">
        <v>46370</v>
      </c>
      <c r="G26" s="41" t="n">
        <v>46371</v>
      </c>
      <c r="H26" s="41" t="n">
        <v>46372</v>
      </c>
      <c r="I26" s="41" t="n">
        <v>46373</v>
      </c>
      <c r="J26" s="41" t="n">
        <v>46374</v>
      </c>
      <c r="K26" s="41" t="n">
        <v>46377</v>
      </c>
      <c r="L26" s="41" t="n">
        <v>46378</v>
      </c>
      <c r="M26" s="41" t="n">
        <v>46379</v>
      </c>
      <c r="P26" s="42" t="n">
        <v>24</v>
      </c>
      <c r="Q26" s="43" t="n">
        <v>46262</v>
      </c>
    </row>
    <row r="27">
      <c r="A27" s="40" t="inlineStr">
        <is>
          <t>Retención en la fuente</t>
        </is>
      </c>
      <c r="B27" s="40" t="inlineStr">
        <is>
          <t>diciembre</t>
        </is>
      </c>
      <c r="C27" s="40" t="inlineStr">
        <is>
          <t>2027-01</t>
        </is>
      </c>
      <c r="D27" s="41" t="n">
        <v>46400</v>
      </c>
      <c r="E27" s="41" t="n">
        <v>46401</v>
      </c>
      <c r="F27" s="41" t="n">
        <v>46402</v>
      </c>
      <c r="G27" s="41" t="n">
        <v>46405</v>
      </c>
      <c r="H27" s="41" t="n">
        <v>46406</v>
      </c>
      <c r="I27" s="41" t="n">
        <v>46407</v>
      </c>
      <c r="J27" s="41" t="n">
        <v>46408</v>
      </c>
      <c r="K27" s="41" t="n">
        <v>46409</v>
      </c>
      <c r="L27" s="41" t="n">
        <v>46412</v>
      </c>
      <c r="M27" s="41" t="n">
        <v>46413</v>
      </c>
      <c r="P27" s="42" t="n">
        <v>25</v>
      </c>
      <c r="Q27" s="43" t="n">
        <v>46265</v>
      </c>
    </row>
    <row r="28">
      <c r="A28" s="40" t="inlineStr">
        <is>
          <t>Régimen Simple · anticipo</t>
        </is>
      </c>
      <c r="B28" s="40" t="inlineStr">
        <is>
          <t>enero–febrero</t>
        </is>
      </c>
      <c r="C28" s="40" t="inlineStr">
        <is>
          <t>2026-05</t>
        </is>
      </c>
      <c r="D28" s="41" t="n">
        <v>46154</v>
      </c>
      <c r="E28" s="41" t="n">
        <v>46155</v>
      </c>
      <c r="F28" s="41" t="n">
        <v>46156</v>
      </c>
      <c r="G28" s="41" t="n">
        <v>46157</v>
      </c>
      <c r="H28" s="41" t="n">
        <v>46161</v>
      </c>
      <c r="I28" s="41" t="n">
        <v>46162</v>
      </c>
      <c r="J28" s="41" t="n">
        <v>46163</v>
      </c>
      <c r="K28" s="41" t="n">
        <v>46164</v>
      </c>
      <c r="L28" s="41" t="n">
        <v>46167</v>
      </c>
      <c r="M28" s="41" t="n">
        <v>46168</v>
      </c>
      <c r="P28" s="42" t="n">
        <v>26</v>
      </c>
      <c r="Q28" s="43" t="n">
        <v>46265</v>
      </c>
    </row>
    <row r="29">
      <c r="A29" s="40" t="inlineStr">
        <is>
          <t>Régimen Simple · anticipo</t>
        </is>
      </c>
      <c r="B29" s="40" t="inlineStr">
        <is>
          <t>marzo–abril</t>
        </is>
      </c>
      <c r="C29" s="40" t="inlineStr">
        <is>
          <t>2026-06</t>
        </is>
      </c>
      <c r="D29" s="41" t="n">
        <v>46183</v>
      </c>
      <c r="E29" s="41" t="n">
        <v>46184</v>
      </c>
      <c r="F29" s="41" t="n">
        <v>46185</v>
      </c>
      <c r="G29" s="41" t="n">
        <v>46189</v>
      </c>
      <c r="H29" s="41" t="n">
        <v>46190</v>
      </c>
      <c r="I29" s="41" t="n">
        <v>46191</v>
      </c>
      <c r="J29" s="41" t="n">
        <v>46192</v>
      </c>
      <c r="K29" s="41" t="n">
        <v>46195</v>
      </c>
      <c r="L29" s="41" t="n">
        <v>46196</v>
      </c>
      <c r="M29" s="41" t="n">
        <v>46197</v>
      </c>
      <c r="P29" s="42" t="n">
        <v>27</v>
      </c>
      <c r="Q29" s="43" t="n">
        <v>46266</v>
      </c>
    </row>
    <row r="30">
      <c r="A30" s="40" t="inlineStr">
        <is>
          <t>Régimen Simple · anticipo</t>
        </is>
      </c>
      <c r="B30" s="40" t="inlineStr">
        <is>
          <t>mayo–junio</t>
        </is>
      </c>
      <c r="C30" s="40" t="inlineStr">
        <is>
          <t>2026-07</t>
        </is>
      </c>
      <c r="D30" s="41" t="n">
        <v>46212</v>
      </c>
      <c r="E30" s="41" t="n">
        <v>46213</v>
      </c>
      <c r="F30" s="41" t="n">
        <v>46217</v>
      </c>
      <c r="G30" s="41" t="n">
        <v>46218</v>
      </c>
      <c r="H30" s="41" t="n">
        <v>46219</v>
      </c>
      <c r="I30" s="41" t="n">
        <v>46220</v>
      </c>
      <c r="J30" s="41" t="n">
        <v>46224</v>
      </c>
      <c r="K30" s="41" t="n">
        <v>46225</v>
      </c>
      <c r="L30" s="41" t="n">
        <v>46226</v>
      </c>
      <c r="M30" s="41" t="n">
        <v>46227</v>
      </c>
      <c r="P30" s="42" t="n">
        <v>28</v>
      </c>
      <c r="Q30" s="43" t="n">
        <v>46266</v>
      </c>
    </row>
    <row r="31">
      <c r="A31" s="40" t="inlineStr">
        <is>
          <t>Régimen Simple · anticipo</t>
        </is>
      </c>
      <c r="B31" s="40" t="inlineStr">
        <is>
          <t>julio–agosto</t>
        </is>
      </c>
      <c r="C31" s="40" t="inlineStr">
        <is>
          <t>2026-09</t>
        </is>
      </c>
      <c r="D31" s="41" t="n">
        <v>46274</v>
      </c>
      <c r="E31" s="41" t="n">
        <v>46275</v>
      </c>
      <c r="F31" s="41" t="n">
        <v>46276</v>
      </c>
      <c r="G31" s="41" t="n">
        <v>46279</v>
      </c>
      <c r="H31" s="41" t="n">
        <v>46280</v>
      </c>
      <c r="I31" s="41" t="n">
        <v>46281</v>
      </c>
      <c r="J31" s="41" t="n">
        <v>46282</v>
      </c>
      <c r="K31" s="41" t="n">
        <v>46283</v>
      </c>
      <c r="L31" s="41" t="n">
        <v>46286</v>
      </c>
      <c r="M31" s="41" t="n">
        <v>46287</v>
      </c>
      <c r="P31" s="42" t="n">
        <v>29</v>
      </c>
      <c r="Q31" s="43" t="n">
        <v>46267</v>
      </c>
    </row>
    <row r="32">
      <c r="A32" s="40" t="inlineStr">
        <is>
          <t>Régimen Simple · anticipo</t>
        </is>
      </c>
      <c r="B32" s="40" t="inlineStr">
        <is>
          <t>septiembre–octubre</t>
        </is>
      </c>
      <c r="C32" s="40" t="inlineStr">
        <is>
          <t>2026-11</t>
        </is>
      </c>
      <c r="D32" s="41" t="n">
        <v>46337</v>
      </c>
      <c r="E32" s="41" t="n">
        <v>46338</v>
      </c>
      <c r="F32" s="41" t="n">
        <v>46339</v>
      </c>
      <c r="G32" s="41" t="n">
        <v>46343</v>
      </c>
      <c r="H32" s="41" t="n">
        <v>46344</v>
      </c>
      <c r="I32" s="41" t="n">
        <v>46345</v>
      </c>
      <c r="J32" s="41" t="n">
        <v>46346</v>
      </c>
      <c r="K32" s="41" t="n">
        <v>46349</v>
      </c>
      <c r="L32" s="41" t="n">
        <v>46350</v>
      </c>
      <c r="M32" s="41" t="n">
        <v>46351</v>
      </c>
      <c r="P32" s="42" t="n">
        <v>30</v>
      </c>
      <c r="Q32" s="43" t="n">
        <v>46267</v>
      </c>
    </row>
    <row r="33">
      <c r="A33" s="40" t="inlineStr">
        <is>
          <t>Régimen Simple · anticipo</t>
        </is>
      </c>
      <c r="B33" s="40" t="inlineStr">
        <is>
          <t>noviembre–diciembre</t>
        </is>
      </c>
      <c r="C33" s="40" t="inlineStr">
        <is>
          <t>2027-01</t>
        </is>
      </c>
      <c r="D33" s="41" t="n">
        <v>46400</v>
      </c>
      <c r="E33" s="41" t="n">
        <v>46401</v>
      </c>
      <c r="F33" s="41" t="n">
        <v>46402</v>
      </c>
      <c r="G33" s="41" t="n">
        <v>46405</v>
      </c>
      <c r="H33" s="41" t="n">
        <v>46406</v>
      </c>
      <c r="I33" s="41" t="n">
        <v>46407</v>
      </c>
      <c r="J33" s="41" t="n">
        <v>46408</v>
      </c>
      <c r="K33" s="41" t="n">
        <v>46409</v>
      </c>
      <c r="L33" s="41" t="n">
        <v>46412</v>
      </c>
      <c r="M33" s="41" t="n">
        <v>46413</v>
      </c>
      <c r="P33" s="42" t="n">
        <v>31</v>
      </c>
      <c r="Q33" s="43" t="n">
        <v>46268</v>
      </c>
    </row>
    <row r="34">
      <c r="A34" s="40" t="inlineStr">
        <is>
          <t>Régimen Simple · declaración anual</t>
        </is>
      </c>
      <c r="B34" s="40" t="inlineStr">
        <is>
          <t>año 2025</t>
        </is>
      </c>
      <c r="C34" s="40" t="inlineStr">
        <is>
          <t>2026-04</t>
        </is>
      </c>
      <c r="D34" s="41" t="n">
        <v>46132</v>
      </c>
      <c r="E34" s="41" t="n">
        <v>46132</v>
      </c>
      <c r="F34" s="41" t="n">
        <v>46133</v>
      </c>
      <c r="G34" s="41" t="n">
        <v>46133</v>
      </c>
      <c r="H34" s="41" t="n">
        <v>46134</v>
      </c>
      <c r="I34" s="41" t="n">
        <v>46134</v>
      </c>
      <c r="J34" s="41" t="n">
        <v>46135</v>
      </c>
      <c r="K34" s="41" t="n">
        <v>46135</v>
      </c>
      <c r="L34" s="41" t="n">
        <v>46136</v>
      </c>
      <c r="M34" s="41" t="n">
        <v>46136</v>
      </c>
      <c r="P34" s="42" t="n">
        <v>32</v>
      </c>
      <c r="Q34" s="43" t="n">
        <v>46268</v>
      </c>
    </row>
    <row r="35">
      <c r="A35" s="40" t="inlineStr">
        <is>
          <t>Régimen Simple · IVA anual consolidado</t>
        </is>
      </c>
      <c r="B35" s="40" t="inlineStr">
        <is>
          <t>año 2025</t>
        </is>
      </c>
      <c r="C35" s="40" t="inlineStr">
        <is>
          <t>2026-02</t>
        </is>
      </c>
      <c r="D35" s="41" t="n">
        <v>46069</v>
      </c>
      <c r="E35" s="41" t="n">
        <v>46069</v>
      </c>
      <c r="F35" s="41" t="n">
        <v>46070</v>
      </c>
      <c r="G35" s="41" t="n">
        <v>46070</v>
      </c>
      <c r="H35" s="41" t="n">
        <v>46071</v>
      </c>
      <c r="I35" s="41" t="n">
        <v>46071</v>
      </c>
      <c r="J35" s="41" t="n">
        <v>46072</v>
      </c>
      <c r="K35" s="41" t="n">
        <v>46072</v>
      </c>
      <c r="L35" s="41" t="n">
        <v>46073</v>
      </c>
      <c r="M35" s="41" t="n">
        <v>46073</v>
      </c>
      <c r="P35" s="42" t="n">
        <v>33</v>
      </c>
      <c r="Q35" s="43" t="n">
        <v>46269</v>
      </c>
    </row>
    <row r="36">
      <c r="P36" s="42" t="n">
        <v>34</v>
      </c>
      <c r="Q36" s="43" t="n">
        <v>46269</v>
      </c>
    </row>
    <row r="37">
      <c r="P37" s="42" t="n">
        <v>35</v>
      </c>
      <c r="Q37" s="43" t="n">
        <v>46272</v>
      </c>
    </row>
    <row r="38">
      <c r="P38" s="42" t="n">
        <v>36</v>
      </c>
      <c r="Q38" s="43" t="n">
        <v>46272</v>
      </c>
    </row>
    <row r="39">
      <c r="P39" s="42" t="n">
        <v>37</v>
      </c>
      <c r="Q39" s="43" t="n">
        <v>46273</v>
      </c>
    </row>
    <row r="40">
      <c r="P40" s="42" t="n">
        <v>38</v>
      </c>
      <c r="Q40" s="43" t="n">
        <v>46273</v>
      </c>
    </row>
    <row r="41">
      <c r="P41" s="42" t="n">
        <v>39</v>
      </c>
      <c r="Q41" s="43" t="n">
        <v>46274</v>
      </c>
    </row>
    <row r="42">
      <c r="P42" s="42" t="n">
        <v>40</v>
      </c>
      <c r="Q42" s="43" t="n">
        <v>46274</v>
      </c>
    </row>
    <row r="43">
      <c r="P43" s="42" t="n">
        <v>41</v>
      </c>
      <c r="Q43" s="43" t="n">
        <v>46275</v>
      </c>
    </row>
    <row r="44">
      <c r="P44" s="42" t="n">
        <v>42</v>
      </c>
      <c r="Q44" s="43" t="n">
        <v>46275</v>
      </c>
    </row>
    <row r="45">
      <c r="P45" s="42" t="n">
        <v>43</v>
      </c>
      <c r="Q45" s="43" t="n">
        <v>46276</v>
      </c>
    </row>
    <row r="46">
      <c r="P46" s="42" t="n">
        <v>44</v>
      </c>
      <c r="Q46" s="43" t="n">
        <v>46276</v>
      </c>
    </row>
    <row r="47">
      <c r="P47" s="42" t="n">
        <v>45</v>
      </c>
      <c r="Q47" s="43" t="n">
        <v>46279</v>
      </c>
    </row>
    <row r="48">
      <c r="P48" s="42" t="n">
        <v>46</v>
      </c>
      <c r="Q48" s="43" t="n">
        <v>46279</v>
      </c>
    </row>
    <row r="49">
      <c r="P49" s="42" t="n">
        <v>47</v>
      </c>
      <c r="Q49" s="43" t="n">
        <v>46280</v>
      </c>
    </row>
    <row r="50">
      <c r="P50" s="42" t="n">
        <v>48</v>
      </c>
      <c r="Q50" s="43" t="n">
        <v>46280</v>
      </c>
    </row>
    <row r="51">
      <c r="P51" s="42" t="n">
        <v>49</v>
      </c>
      <c r="Q51" s="43" t="n">
        <v>46281</v>
      </c>
    </row>
    <row r="52">
      <c r="P52" s="42" t="n">
        <v>50</v>
      </c>
      <c r="Q52" s="43" t="n">
        <v>46281</v>
      </c>
    </row>
    <row r="53">
      <c r="P53" s="42" t="n">
        <v>51</v>
      </c>
      <c r="Q53" s="43" t="n">
        <v>46282</v>
      </c>
    </row>
    <row r="54">
      <c r="P54" s="42" t="n">
        <v>52</v>
      </c>
      <c r="Q54" s="43" t="n">
        <v>46282</v>
      </c>
    </row>
    <row r="55">
      <c r="P55" s="42" t="n">
        <v>53</v>
      </c>
      <c r="Q55" s="43" t="n">
        <v>46283</v>
      </c>
    </row>
    <row r="56">
      <c r="P56" s="42" t="n">
        <v>54</v>
      </c>
      <c r="Q56" s="43" t="n">
        <v>46283</v>
      </c>
    </row>
    <row r="57">
      <c r="P57" s="42" t="n">
        <v>55</v>
      </c>
      <c r="Q57" s="43" t="n">
        <v>46286</v>
      </c>
    </row>
    <row r="58">
      <c r="P58" s="42" t="n">
        <v>56</v>
      </c>
      <c r="Q58" s="43" t="n">
        <v>46286</v>
      </c>
    </row>
    <row r="59">
      <c r="P59" s="42" t="n">
        <v>57</v>
      </c>
      <c r="Q59" s="43" t="n">
        <v>46287</v>
      </c>
    </row>
    <row r="60">
      <c r="P60" s="42" t="n">
        <v>58</v>
      </c>
      <c r="Q60" s="43" t="n">
        <v>46287</v>
      </c>
    </row>
    <row r="61">
      <c r="P61" s="42" t="n">
        <v>59</v>
      </c>
      <c r="Q61" s="43" t="n">
        <v>46288</v>
      </c>
    </row>
    <row r="62">
      <c r="P62" s="42" t="n">
        <v>60</v>
      </c>
      <c r="Q62" s="43" t="n">
        <v>46288</v>
      </c>
    </row>
    <row r="63">
      <c r="P63" s="42" t="n">
        <v>61</v>
      </c>
      <c r="Q63" s="43" t="n">
        <v>46289</v>
      </c>
    </row>
    <row r="64">
      <c r="P64" s="42" t="n">
        <v>62</v>
      </c>
      <c r="Q64" s="43" t="n">
        <v>46289</v>
      </c>
    </row>
    <row r="65">
      <c r="P65" s="42" t="n">
        <v>63</v>
      </c>
      <c r="Q65" s="43" t="n">
        <v>46290</v>
      </c>
    </row>
    <row r="66">
      <c r="P66" s="42" t="n">
        <v>64</v>
      </c>
      <c r="Q66" s="43" t="n">
        <v>46290</v>
      </c>
    </row>
    <row r="67">
      <c r="P67" s="42" t="n">
        <v>65</v>
      </c>
      <c r="Q67" s="43" t="n">
        <v>46293</v>
      </c>
    </row>
    <row r="68">
      <c r="P68" s="42" t="n">
        <v>66</v>
      </c>
      <c r="Q68" s="43" t="n">
        <v>46293</v>
      </c>
    </row>
    <row r="69">
      <c r="P69" s="42" t="n">
        <v>67</v>
      </c>
      <c r="Q69" s="43" t="n">
        <v>46296</v>
      </c>
    </row>
    <row r="70">
      <c r="P70" s="42" t="n">
        <v>68</v>
      </c>
      <c r="Q70" s="43" t="n">
        <v>46296</v>
      </c>
    </row>
    <row r="71">
      <c r="P71" s="42" t="n">
        <v>69</v>
      </c>
      <c r="Q71" s="43" t="n">
        <v>46297</v>
      </c>
    </row>
    <row r="72">
      <c r="P72" s="42" t="n">
        <v>70</v>
      </c>
      <c r="Q72" s="43" t="n">
        <v>46297</v>
      </c>
    </row>
    <row r="73">
      <c r="P73" s="42" t="n">
        <v>71</v>
      </c>
      <c r="Q73" s="43" t="n">
        <v>46300</v>
      </c>
    </row>
    <row r="74">
      <c r="P74" s="42" t="n">
        <v>72</v>
      </c>
      <c r="Q74" s="43" t="n">
        <v>46300</v>
      </c>
    </row>
    <row r="75">
      <c r="P75" s="42" t="n">
        <v>73</v>
      </c>
      <c r="Q75" s="43" t="n">
        <v>46301</v>
      </c>
    </row>
    <row r="76">
      <c r="P76" s="42" t="n">
        <v>74</v>
      </c>
      <c r="Q76" s="43" t="n">
        <v>46301</v>
      </c>
    </row>
    <row r="77">
      <c r="P77" s="42" t="n">
        <v>75</v>
      </c>
      <c r="Q77" s="43" t="n">
        <v>46302</v>
      </c>
    </row>
    <row r="78">
      <c r="P78" s="42" t="n">
        <v>76</v>
      </c>
      <c r="Q78" s="43" t="n">
        <v>46302</v>
      </c>
    </row>
    <row r="79">
      <c r="P79" s="42" t="n">
        <v>77</v>
      </c>
      <c r="Q79" s="43" t="n">
        <v>46303</v>
      </c>
    </row>
    <row r="80">
      <c r="P80" s="42" t="n">
        <v>78</v>
      </c>
      <c r="Q80" s="43" t="n">
        <v>46303</v>
      </c>
    </row>
    <row r="81">
      <c r="P81" s="42" t="n">
        <v>79</v>
      </c>
      <c r="Q81" s="43" t="n">
        <v>46304</v>
      </c>
    </row>
    <row r="82">
      <c r="P82" s="42" t="n">
        <v>80</v>
      </c>
      <c r="Q82" s="43" t="n">
        <v>46304</v>
      </c>
    </row>
    <row r="83">
      <c r="P83" s="42" t="n">
        <v>81</v>
      </c>
      <c r="Q83" s="43" t="n">
        <v>46308</v>
      </c>
    </row>
    <row r="84">
      <c r="P84" s="42" t="n">
        <v>82</v>
      </c>
      <c r="Q84" s="43" t="n">
        <v>46308</v>
      </c>
    </row>
    <row r="85">
      <c r="P85" s="42" t="n">
        <v>83</v>
      </c>
      <c r="Q85" s="43" t="n">
        <v>46309</v>
      </c>
    </row>
    <row r="86">
      <c r="P86" s="42" t="n">
        <v>84</v>
      </c>
      <c r="Q86" s="43" t="n">
        <v>46309</v>
      </c>
    </row>
    <row r="87">
      <c r="P87" s="42" t="n">
        <v>85</v>
      </c>
      <c r="Q87" s="43" t="n">
        <v>46310</v>
      </c>
    </row>
    <row r="88">
      <c r="P88" s="42" t="n">
        <v>86</v>
      </c>
      <c r="Q88" s="43" t="n">
        <v>46310</v>
      </c>
    </row>
    <row r="89">
      <c r="P89" s="42" t="n">
        <v>87</v>
      </c>
      <c r="Q89" s="43" t="n">
        <v>46311</v>
      </c>
    </row>
    <row r="90">
      <c r="P90" s="42" t="n">
        <v>88</v>
      </c>
      <c r="Q90" s="43" t="n">
        <v>46311</v>
      </c>
    </row>
    <row r="91">
      <c r="P91" s="42" t="n">
        <v>89</v>
      </c>
      <c r="Q91" s="43" t="n">
        <v>46314</v>
      </c>
    </row>
    <row r="92">
      <c r="P92" s="42" t="n">
        <v>90</v>
      </c>
      <c r="Q92" s="43" t="n">
        <v>46314</v>
      </c>
    </row>
    <row r="93">
      <c r="P93" s="42" t="n">
        <v>91</v>
      </c>
      <c r="Q93" s="43" t="n">
        <v>46315</v>
      </c>
    </row>
    <row r="94">
      <c r="P94" s="42" t="n">
        <v>92</v>
      </c>
      <c r="Q94" s="43" t="n">
        <v>46315</v>
      </c>
    </row>
    <row r="95">
      <c r="P95" s="42" t="n">
        <v>93</v>
      </c>
      <c r="Q95" s="43" t="n">
        <v>46316</v>
      </c>
    </row>
    <row r="96">
      <c r="P96" s="42" t="n">
        <v>94</v>
      </c>
      <c r="Q96" s="43" t="n">
        <v>46316</v>
      </c>
    </row>
    <row r="97">
      <c r="P97" s="42" t="n">
        <v>95</v>
      </c>
      <c r="Q97" s="43" t="n">
        <v>46317</v>
      </c>
    </row>
    <row r="98">
      <c r="P98" s="42" t="n">
        <v>96</v>
      </c>
      <c r="Q98" s="43" t="n">
        <v>46317</v>
      </c>
    </row>
    <row r="99">
      <c r="P99" s="42" t="n">
        <v>97</v>
      </c>
      <c r="Q99" s="43" t="n">
        <v>46318</v>
      </c>
    </row>
    <row r="100">
      <c r="P100" s="42" t="n">
        <v>98</v>
      </c>
      <c r="Q100" s="43" t="n">
        <v>46318</v>
      </c>
    </row>
    <row r="101">
      <c r="P101" s="42" t="n">
        <v>99</v>
      </c>
      <c r="Q101" s="43" t="n">
        <v>46321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Solución Contable y Fiscal S.A.S.</dc:creator>
  <dc:title xmlns:dc="http://purl.org/dc/elements/1.1/">Calendario tributario 2026 por NIT</dc:title>
  <dc:subject xmlns:dc="http://purl.org/dc/elements/1.1/">Fechas DIAN 2026 según los dígitos del NIT</dc:subject>
  <dcterms:created xmlns:dcterms="http://purl.org/dc/terms/" xmlns:xsi="http://www.w3.org/2001/XMLSchema-instance" xsi:type="dcterms:W3CDTF">2026-10-25T16:47:30Z</dcterms:created>
  <dcterms:modified xmlns:dcterms="http://purl.org/dc/terms/" xmlns:xsi="http://www.w3.org/2001/XMLSchema-instance" xsi:type="dcterms:W3CDTF">2026-10-25T16:47:30Z</dcterms:modified>
  <cp:keywords>Solución Contable y Fiscal, Colombia, DIAN, 2026</cp:keywords>
</cp:coreProperties>
</file>